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ibertymutualapc-my.sharepoint.com/personal/aliffirdaus_azizul_libertyinsurance_com_my/Documents/Desktop/"/>
    </mc:Choice>
  </mc:AlternateContent>
  <xr:revisionPtr revIDLastSave="0" documentId="8_{B9BB5FAC-DD34-41F4-A9CF-FFF6E004C63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Raw Data" sheetId="3" r:id="rId1"/>
    <sheet name="Reported Claims" sheetId="1" r:id="rId2"/>
    <sheet name="Paid Claims" sheetId="4" r:id="rId3"/>
    <sheet name="Projection" sheetId="5" r:id="rId4"/>
    <sheet name="Development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6" l="1"/>
  <c r="G16" i="6"/>
  <c r="H16" i="6"/>
  <c r="I16" i="6"/>
  <c r="J16" i="6"/>
  <c r="F7" i="6"/>
  <c r="G7" i="6"/>
  <c r="H7" i="6"/>
  <c r="J7" i="6" s="1"/>
  <c r="I7" i="6"/>
  <c r="F8" i="6"/>
  <c r="G8" i="6"/>
  <c r="H8" i="6"/>
  <c r="I8" i="6"/>
  <c r="J8" i="6"/>
  <c r="F9" i="6"/>
  <c r="J9" i="6" s="1"/>
  <c r="G9" i="6"/>
  <c r="H9" i="6"/>
  <c r="F10" i="6"/>
  <c r="G10" i="6"/>
  <c r="H10" i="6"/>
  <c r="I10" i="6"/>
  <c r="J10" i="6"/>
  <c r="F11" i="6"/>
  <c r="J11" i="6" s="1"/>
  <c r="G11" i="6"/>
  <c r="H11" i="6"/>
  <c r="I11" i="6"/>
  <c r="F12" i="6"/>
  <c r="G12" i="6"/>
  <c r="I12" i="6" s="1"/>
  <c r="H12" i="6"/>
  <c r="J12" i="6" s="1"/>
  <c r="F13" i="6"/>
  <c r="G13" i="6"/>
  <c r="H13" i="6"/>
  <c r="I13" i="6"/>
  <c r="J13" i="6"/>
  <c r="F14" i="6"/>
  <c r="I14" i="6" s="1"/>
  <c r="G14" i="6"/>
  <c r="H14" i="6"/>
  <c r="F15" i="6"/>
  <c r="G15" i="6"/>
  <c r="H15" i="6"/>
  <c r="I15" i="6"/>
  <c r="J15" i="6"/>
  <c r="J6" i="6"/>
  <c r="I6" i="6"/>
  <c r="H6" i="6"/>
  <c r="G6" i="6"/>
  <c r="F6" i="6"/>
  <c r="J5" i="6"/>
  <c r="C5" i="6"/>
  <c r="D5" i="6"/>
  <c r="E5" i="6"/>
  <c r="F5" i="6"/>
  <c r="G5" i="6" s="1"/>
  <c r="H5" i="6" s="1"/>
  <c r="I5" i="6" s="1"/>
  <c r="B5" i="6"/>
  <c r="C16" i="6"/>
  <c r="B16" i="6"/>
  <c r="A7" i="6"/>
  <c r="A8" i="6" s="1"/>
  <c r="A9" i="6" s="1"/>
  <c r="A10" i="6" s="1"/>
  <c r="A11" i="6" s="1"/>
  <c r="A12" i="6" s="1"/>
  <c r="A13" i="6" s="1"/>
  <c r="A14" i="6" s="1"/>
  <c r="A15" i="6" s="1"/>
  <c r="E16" i="6"/>
  <c r="D16" i="6"/>
  <c r="C16" i="5"/>
  <c r="D1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H6" i="5"/>
  <c r="G6" i="5"/>
  <c r="A8" i="5"/>
  <c r="A9" i="5"/>
  <c r="A10" i="5" s="1"/>
  <c r="A11" i="5" s="1"/>
  <c r="A12" i="5" s="1"/>
  <c r="A13" i="5" s="1"/>
  <c r="A14" i="5" s="1"/>
  <c r="A15" i="5" s="1"/>
  <c r="A7" i="5"/>
  <c r="B7" i="5"/>
  <c r="B8" i="5" s="1"/>
  <c r="B9" i="5" s="1"/>
  <c r="B10" i="5" s="1"/>
  <c r="B11" i="5" s="1"/>
  <c r="B12" i="5" s="1"/>
  <c r="B13" i="5" s="1"/>
  <c r="B14" i="5" s="1"/>
  <c r="B15" i="5" s="1"/>
  <c r="C55" i="1"/>
  <c r="D3" i="4"/>
  <c r="E3" i="4" s="1"/>
  <c r="F3" i="4" s="1"/>
  <c r="G3" i="4" s="1"/>
  <c r="H3" i="4" s="1"/>
  <c r="I3" i="4" s="1"/>
  <c r="J3" i="4" s="1"/>
  <c r="K3" i="4" s="1"/>
  <c r="L3" i="4" s="1"/>
  <c r="K18" i="4"/>
  <c r="J19" i="4"/>
  <c r="I20" i="4"/>
  <c r="J20" i="4"/>
  <c r="K20" i="4"/>
  <c r="H21" i="4"/>
  <c r="I21" i="4"/>
  <c r="J21" i="4"/>
  <c r="K21" i="4"/>
  <c r="F22" i="4"/>
  <c r="G22" i="4"/>
  <c r="H22" i="4"/>
  <c r="I22" i="4"/>
  <c r="J22" i="4"/>
  <c r="K22" i="4"/>
  <c r="F23" i="4"/>
  <c r="H23" i="4"/>
  <c r="I23" i="4"/>
  <c r="J23" i="4"/>
  <c r="K23" i="4"/>
  <c r="E24" i="4"/>
  <c r="F24" i="4"/>
  <c r="I24" i="4"/>
  <c r="J24" i="4"/>
  <c r="K24" i="4"/>
  <c r="D25" i="4"/>
  <c r="E25" i="4"/>
  <c r="F25" i="4"/>
  <c r="G25" i="4"/>
  <c r="H25" i="4"/>
  <c r="J25" i="4"/>
  <c r="K25" i="4"/>
  <c r="C26" i="4"/>
  <c r="D26" i="4"/>
  <c r="E26" i="4"/>
  <c r="F26" i="4"/>
  <c r="G26" i="4"/>
  <c r="H26" i="4"/>
  <c r="I26" i="4"/>
  <c r="J26" i="4"/>
  <c r="K26" i="4"/>
  <c r="L52" i="4"/>
  <c r="L53" i="4" s="1"/>
  <c r="K52" i="4"/>
  <c r="K53" i="4" s="1"/>
  <c r="J52" i="4"/>
  <c r="J53" i="4" s="1"/>
  <c r="I52" i="4"/>
  <c r="I53" i="4" s="1"/>
  <c r="H52" i="4"/>
  <c r="H53" i="4" s="1"/>
  <c r="G52" i="4"/>
  <c r="G53" i="4" s="1"/>
  <c r="F52" i="4"/>
  <c r="F53" i="4" s="1"/>
  <c r="E52" i="4"/>
  <c r="E53" i="4" s="1"/>
  <c r="D52" i="4"/>
  <c r="D53" i="4" s="1"/>
  <c r="C52" i="4"/>
  <c r="C53" i="4" s="1"/>
  <c r="I25" i="4"/>
  <c r="H24" i="4"/>
  <c r="G24" i="4"/>
  <c r="G23" i="4"/>
  <c r="K19" i="4"/>
  <c r="H18" i="4"/>
  <c r="P3" i="3"/>
  <c r="Q3" i="3" s="1"/>
  <c r="R3" i="3" s="1"/>
  <c r="S3" i="3" s="1"/>
  <c r="T3" i="3" s="1"/>
  <c r="U3" i="3" s="1"/>
  <c r="V3" i="3" s="1"/>
  <c r="W3" i="3" s="1"/>
  <c r="X3" i="3" s="1"/>
  <c r="D3" i="3"/>
  <c r="E3" i="3" s="1"/>
  <c r="F3" i="3" s="1"/>
  <c r="G3" i="3" s="1"/>
  <c r="H3" i="3" s="1"/>
  <c r="I3" i="3" s="1"/>
  <c r="J3" i="3" s="1"/>
  <c r="K3" i="3" s="1"/>
  <c r="L3" i="3" s="1"/>
  <c r="L71" i="1"/>
  <c r="L72" i="1" s="1"/>
  <c r="K71" i="1"/>
  <c r="J71" i="1"/>
  <c r="J72" i="1" s="1"/>
  <c r="I71" i="1"/>
  <c r="I72" i="1" s="1"/>
  <c r="H71" i="1"/>
  <c r="G71" i="1"/>
  <c r="G72" i="1" s="1"/>
  <c r="F71" i="1"/>
  <c r="F72" i="1" s="1"/>
  <c r="E71" i="1"/>
  <c r="E72" i="1" s="1"/>
  <c r="D71" i="1"/>
  <c r="D72" i="1" s="1"/>
  <c r="C71" i="1"/>
  <c r="C72" i="1" s="1"/>
  <c r="H72" i="1"/>
  <c r="K72" i="1"/>
  <c r="L20" i="1"/>
  <c r="K35" i="1" s="1"/>
  <c r="L21" i="1"/>
  <c r="K36" i="1" s="1"/>
  <c r="L22" i="1"/>
  <c r="K37" i="1" s="1"/>
  <c r="L23" i="1"/>
  <c r="K38" i="1" s="1"/>
  <c r="L24" i="1"/>
  <c r="K39" i="1" s="1"/>
  <c r="L25" i="1"/>
  <c r="K40" i="1" s="1"/>
  <c r="L26" i="1"/>
  <c r="K41" i="1" s="1"/>
  <c r="L27" i="1"/>
  <c r="K42" i="1" s="1"/>
  <c r="L28" i="1"/>
  <c r="K43" i="1" s="1"/>
  <c r="K20" i="1"/>
  <c r="J57" i="1" s="1"/>
  <c r="K21" i="1"/>
  <c r="J36" i="1" s="1"/>
  <c r="K22" i="1"/>
  <c r="J37" i="1" s="1"/>
  <c r="K23" i="1"/>
  <c r="J38" i="1" s="1"/>
  <c r="K24" i="1"/>
  <c r="J39" i="1" s="1"/>
  <c r="K25" i="1"/>
  <c r="J40" i="1" s="1"/>
  <c r="K26" i="1"/>
  <c r="J41" i="1" s="1"/>
  <c r="K27" i="1"/>
  <c r="J42" i="1" s="1"/>
  <c r="K28" i="1"/>
  <c r="J43" i="1" s="1"/>
  <c r="J20" i="1"/>
  <c r="J21" i="1"/>
  <c r="J22" i="1"/>
  <c r="I37" i="1" s="1"/>
  <c r="J23" i="1"/>
  <c r="I38" i="1" s="1"/>
  <c r="J24" i="1"/>
  <c r="I39" i="1" s="1"/>
  <c r="J25" i="1"/>
  <c r="I40" i="1" s="1"/>
  <c r="J26" i="1"/>
  <c r="I41" i="1" s="1"/>
  <c r="J27" i="1"/>
  <c r="I42" i="1" s="1"/>
  <c r="J28" i="1"/>
  <c r="I43" i="1" s="1"/>
  <c r="I20" i="1"/>
  <c r="I21" i="1"/>
  <c r="I22" i="1"/>
  <c r="I23" i="1"/>
  <c r="H38" i="1" s="1"/>
  <c r="I24" i="1"/>
  <c r="H39" i="1" s="1"/>
  <c r="I25" i="1"/>
  <c r="H40" i="1" s="1"/>
  <c r="I26" i="1"/>
  <c r="H41" i="1" s="1"/>
  <c r="I27" i="1"/>
  <c r="H42" i="1" s="1"/>
  <c r="I28" i="1"/>
  <c r="H43" i="1" s="1"/>
  <c r="H20" i="1"/>
  <c r="H21" i="1"/>
  <c r="H22" i="1"/>
  <c r="H23" i="1"/>
  <c r="H24" i="1"/>
  <c r="G39" i="1" s="1"/>
  <c r="H25" i="1"/>
  <c r="G40" i="1" s="1"/>
  <c r="H26" i="1"/>
  <c r="G41" i="1" s="1"/>
  <c r="H27" i="1"/>
  <c r="G42" i="1" s="1"/>
  <c r="H28" i="1"/>
  <c r="G43" i="1" s="1"/>
  <c r="G20" i="1"/>
  <c r="G21" i="1"/>
  <c r="G22" i="1"/>
  <c r="G23" i="1"/>
  <c r="F38" i="1" s="1"/>
  <c r="G24" i="1"/>
  <c r="G25" i="1"/>
  <c r="F40" i="1" s="1"/>
  <c r="G26" i="1"/>
  <c r="F41" i="1" s="1"/>
  <c r="G27" i="1"/>
  <c r="F42" i="1" s="1"/>
  <c r="G28" i="1"/>
  <c r="F43" i="1" s="1"/>
  <c r="F20" i="1"/>
  <c r="F21" i="1"/>
  <c r="F22" i="1"/>
  <c r="F23" i="1"/>
  <c r="F24" i="1"/>
  <c r="F25" i="1"/>
  <c r="F26" i="1"/>
  <c r="E41" i="1" s="1"/>
  <c r="F27" i="1"/>
  <c r="E42" i="1" s="1"/>
  <c r="F28" i="1"/>
  <c r="E43" i="1" s="1"/>
  <c r="E20" i="1"/>
  <c r="E21" i="1"/>
  <c r="E22" i="1"/>
  <c r="E23" i="1"/>
  <c r="E24" i="1"/>
  <c r="E25" i="1"/>
  <c r="E26" i="1"/>
  <c r="E27" i="1"/>
  <c r="D42" i="1" s="1"/>
  <c r="E28" i="1"/>
  <c r="D43" i="1" s="1"/>
  <c r="L19" i="1"/>
  <c r="K60" i="1" s="1"/>
  <c r="K19" i="1"/>
  <c r="J58" i="1" s="1"/>
  <c r="J19" i="1"/>
  <c r="J34" i="1" s="1"/>
  <c r="I19" i="1"/>
  <c r="H58" i="1" s="1"/>
  <c r="H19" i="1"/>
  <c r="G58" i="1" s="1"/>
  <c r="G19" i="1"/>
  <c r="F58" i="1" s="1"/>
  <c r="F19" i="1"/>
  <c r="E58" i="1" s="1"/>
  <c r="E19" i="1"/>
  <c r="D58" i="1" s="1"/>
  <c r="D28" i="1"/>
  <c r="C43" i="1" s="1"/>
  <c r="D27" i="1"/>
  <c r="D26" i="1"/>
  <c r="D25" i="1"/>
  <c r="D24" i="1"/>
  <c r="C39" i="1" s="1"/>
  <c r="D23" i="1"/>
  <c r="D22" i="1"/>
  <c r="D21" i="1"/>
  <c r="D20" i="1"/>
  <c r="D19" i="1"/>
  <c r="C57" i="1" s="1"/>
  <c r="C20" i="1"/>
  <c r="C21" i="1"/>
  <c r="C22" i="1"/>
  <c r="C23" i="1"/>
  <c r="C24" i="1"/>
  <c r="C25" i="1"/>
  <c r="C26" i="1"/>
  <c r="C27" i="1"/>
  <c r="C28" i="1"/>
  <c r="C19" i="1"/>
  <c r="D18" i="1"/>
  <c r="E18" i="1" s="1"/>
  <c r="F18" i="1" s="1"/>
  <c r="G18" i="1" s="1"/>
  <c r="H18" i="1" s="1"/>
  <c r="I18" i="1" s="1"/>
  <c r="J18" i="1" s="1"/>
  <c r="K18" i="1" s="1"/>
  <c r="L18" i="1" s="1"/>
  <c r="D3" i="1"/>
  <c r="E3" i="1" s="1"/>
  <c r="F3" i="1" s="1"/>
  <c r="G3" i="1" s="1"/>
  <c r="H3" i="1" s="1"/>
  <c r="I3" i="1" s="1"/>
  <c r="J3" i="1" s="1"/>
  <c r="K3" i="1" s="1"/>
  <c r="L3" i="1" s="1"/>
  <c r="J14" i="6" l="1"/>
  <c r="I9" i="6"/>
  <c r="H16" i="5"/>
  <c r="G16" i="5"/>
  <c r="D24" i="4"/>
  <c r="D18" i="4"/>
  <c r="K17" i="4"/>
  <c r="C23" i="4"/>
  <c r="G19" i="4"/>
  <c r="E18" i="4"/>
  <c r="C41" i="4"/>
  <c r="D22" i="4"/>
  <c r="F18" i="4"/>
  <c r="G57" i="1"/>
  <c r="J59" i="1"/>
  <c r="H59" i="1"/>
  <c r="F57" i="1"/>
  <c r="J60" i="1"/>
  <c r="G59" i="1"/>
  <c r="E57" i="1"/>
  <c r="I60" i="1"/>
  <c r="F59" i="1"/>
  <c r="D57" i="1"/>
  <c r="H60" i="1"/>
  <c r="E59" i="1"/>
  <c r="H57" i="1"/>
  <c r="G60" i="1"/>
  <c r="D59" i="1"/>
  <c r="I57" i="1"/>
  <c r="F60" i="1"/>
  <c r="E60" i="1"/>
  <c r="K57" i="1"/>
  <c r="D60" i="1"/>
  <c r="K58" i="1"/>
  <c r="C60" i="1"/>
  <c r="C40" i="1"/>
  <c r="K59" i="1"/>
  <c r="C58" i="1"/>
  <c r="C59" i="1"/>
  <c r="I58" i="1"/>
  <c r="I59" i="1"/>
  <c r="D23" i="4"/>
  <c r="F40" i="4"/>
  <c r="C17" i="4"/>
  <c r="G18" i="4"/>
  <c r="C21" i="4"/>
  <c r="E22" i="4"/>
  <c r="C20" i="4"/>
  <c r="E21" i="4"/>
  <c r="J40" i="4"/>
  <c r="F21" i="4"/>
  <c r="H19" i="4"/>
  <c r="G40" i="4"/>
  <c r="I18" i="4"/>
  <c r="J17" i="4"/>
  <c r="H40" i="4"/>
  <c r="J18" i="4"/>
  <c r="D21" i="4"/>
  <c r="D20" i="4"/>
  <c r="K41" i="4"/>
  <c r="C40" i="4"/>
  <c r="E20" i="4"/>
  <c r="G21" i="4"/>
  <c r="C25" i="4"/>
  <c r="K38" i="4"/>
  <c r="D19" i="4"/>
  <c r="F20" i="4"/>
  <c r="C18" i="4"/>
  <c r="E19" i="4"/>
  <c r="G20" i="4"/>
  <c r="C24" i="4"/>
  <c r="K40" i="4"/>
  <c r="I40" i="4"/>
  <c r="F19" i="4"/>
  <c r="H20" i="4"/>
  <c r="J41" i="4"/>
  <c r="J38" i="4"/>
  <c r="D41" i="4"/>
  <c r="E41" i="4"/>
  <c r="I19" i="4"/>
  <c r="C22" i="4"/>
  <c r="E23" i="4"/>
  <c r="K45" i="4" a="1"/>
  <c r="K45" i="4" s="1"/>
  <c r="F39" i="4"/>
  <c r="F41" i="4"/>
  <c r="G39" i="4"/>
  <c r="G41" i="4"/>
  <c r="H39" i="4"/>
  <c r="C19" i="4"/>
  <c r="C38" i="4"/>
  <c r="I39" i="4"/>
  <c r="I41" i="4"/>
  <c r="E39" i="4"/>
  <c r="D17" i="4"/>
  <c r="K31" i="4" a="1"/>
  <c r="K31" i="4" s="1"/>
  <c r="K32" i="4" a="1"/>
  <c r="K32" i="4" s="1"/>
  <c r="K33" i="4" a="1"/>
  <c r="K33" i="4" s="1"/>
  <c r="K34" i="4" a="1"/>
  <c r="K34" i="4" s="1"/>
  <c r="K36" i="4" a="1"/>
  <c r="K36" i="4" s="1"/>
  <c r="D38" i="4"/>
  <c r="J39" i="4"/>
  <c r="D40" i="4"/>
  <c r="K43" i="4" a="1"/>
  <c r="K43" i="4" s="1"/>
  <c r="K44" i="4" a="1"/>
  <c r="K44" i="4" s="1"/>
  <c r="E17" i="4"/>
  <c r="E38" i="4"/>
  <c r="K39" i="4"/>
  <c r="E40" i="4"/>
  <c r="H41" i="4"/>
  <c r="F17" i="4"/>
  <c r="F38" i="4"/>
  <c r="G17" i="4"/>
  <c r="G38" i="4"/>
  <c r="H17" i="4"/>
  <c r="H38" i="4"/>
  <c r="D39" i="4"/>
  <c r="I17" i="4"/>
  <c r="I38" i="4"/>
  <c r="C39" i="4"/>
  <c r="K34" i="1"/>
  <c r="F39" i="1"/>
  <c r="C42" i="1"/>
  <c r="C41" i="1"/>
  <c r="D38" i="1"/>
  <c r="I34" i="1"/>
  <c r="D37" i="1"/>
  <c r="C34" i="1"/>
  <c r="H37" i="1"/>
  <c r="D36" i="1"/>
  <c r="H36" i="1"/>
  <c r="E34" i="1"/>
  <c r="E35" i="1"/>
  <c r="I35" i="1"/>
  <c r="H34" i="1"/>
  <c r="H50" i="1" s="1" a="1"/>
  <c r="H50" i="1" s="1"/>
  <c r="G38" i="1"/>
  <c r="H35" i="1"/>
  <c r="C36" i="1"/>
  <c r="C37" i="1"/>
  <c r="G37" i="1"/>
  <c r="C38" i="1"/>
  <c r="F34" i="1"/>
  <c r="C35" i="1"/>
  <c r="G36" i="1"/>
  <c r="E38" i="1"/>
  <c r="D35" i="1"/>
  <c r="D41" i="1"/>
  <c r="E40" i="1"/>
  <c r="E37" i="1"/>
  <c r="F35" i="1"/>
  <c r="D34" i="1"/>
  <c r="E39" i="1"/>
  <c r="E36" i="1"/>
  <c r="I36" i="1"/>
  <c r="F36" i="1"/>
  <c r="D39" i="1"/>
  <c r="J35" i="1"/>
  <c r="J50" i="1" s="1" a="1"/>
  <c r="J50" i="1" s="1"/>
  <c r="D40" i="1"/>
  <c r="F37" i="1"/>
  <c r="G35" i="1"/>
  <c r="G34" i="1"/>
  <c r="J33" i="4" l="1" a="1"/>
  <c r="J33" i="4" s="1"/>
  <c r="J31" i="4" a="1"/>
  <c r="J31" i="4" s="1"/>
  <c r="J43" i="4" a="1"/>
  <c r="J43" i="4" s="1"/>
  <c r="J45" i="4" a="1"/>
  <c r="J45" i="4" s="1"/>
  <c r="J34" i="4" a="1"/>
  <c r="J34" i="4" s="1"/>
  <c r="J32" i="4" a="1"/>
  <c r="J32" i="4" s="1"/>
  <c r="G63" i="1" a="1"/>
  <c r="G63" i="1" s="1"/>
  <c r="G55" i="1" a="1"/>
  <c r="G55" i="1" s="1"/>
  <c r="G62" i="1" a="1"/>
  <c r="G62" i="1" s="1"/>
  <c r="G64" i="1" a="1"/>
  <c r="G64" i="1" s="1"/>
  <c r="J63" i="1" a="1"/>
  <c r="J63" i="1" s="1"/>
  <c r="E63" i="1" a="1"/>
  <c r="E63" i="1" s="1"/>
  <c r="E55" i="1" a="1"/>
  <c r="E55" i="1" s="1"/>
  <c r="E62" i="1" a="1"/>
  <c r="E62" i="1" s="1"/>
  <c r="E64" i="1" a="1"/>
  <c r="E64" i="1" s="1"/>
  <c r="F63" i="1" a="1"/>
  <c r="F63" i="1" s="1"/>
  <c r="F55" i="1" a="1"/>
  <c r="F55" i="1" s="1"/>
  <c r="F62" i="1" a="1"/>
  <c r="F62" i="1" s="1"/>
  <c r="F64" i="1" a="1"/>
  <c r="F64" i="1" s="1"/>
  <c r="C62" i="1" a="1"/>
  <c r="C62" i="1" s="1"/>
  <c r="C64" i="1" a="1"/>
  <c r="C64" i="1" s="1"/>
  <c r="C63" i="1" a="1"/>
  <c r="C63" i="1" s="1"/>
  <c r="C51" i="1" a="1"/>
  <c r="C51" i="1" s="1"/>
  <c r="J55" i="1" a="1"/>
  <c r="J55" i="1" s="1"/>
  <c r="H63" i="1" a="1"/>
  <c r="H63" i="1" s="1"/>
  <c r="H55" i="1" a="1"/>
  <c r="H55" i="1" s="1"/>
  <c r="H62" i="1" a="1"/>
  <c r="H62" i="1" s="1"/>
  <c r="H64" i="1" a="1"/>
  <c r="H64" i="1" s="1"/>
  <c r="D55" i="1" a="1"/>
  <c r="D55" i="1" s="1"/>
  <c r="D62" i="1" a="1"/>
  <c r="D62" i="1" s="1"/>
  <c r="D64" i="1" a="1"/>
  <c r="D64" i="1" s="1"/>
  <c r="D63" i="1" a="1"/>
  <c r="D63" i="1" s="1"/>
  <c r="J62" i="1" a="1"/>
  <c r="J62" i="1" s="1"/>
  <c r="K64" i="1" a="1"/>
  <c r="K64" i="1" s="1"/>
  <c r="K63" i="1" a="1"/>
  <c r="K63" i="1" s="1"/>
  <c r="K55" i="1" a="1"/>
  <c r="K55" i="1" s="1"/>
  <c r="K62" i="1" a="1"/>
  <c r="K62" i="1" s="1"/>
  <c r="I64" i="1" a="1"/>
  <c r="I64" i="1" s="1"/>
  <c r="I63" i="1" a="1"/>
  <c r="I63" i="1" s="1"/>
  <c r="I55" i="1" a="1"/>
  <c r="I55" i="1" s="1"/>
  <c r="I62" i="1" a="1"/>
  <c r="I62" i="1" s="1"/>
  <c r="J64" i="1" a="1"/>
  <c r="J64" i="1" s="1"/>
  <c r="C45" i="4" a="1"/>
  <c r="C45" i="4" s="1"/>
  <c r="J36" i="4" a="1"/>
  <c r="J36" i="4" s="1"/>
  <c r="J44" i="4" a="1"/>
  <c r="J44" i="4" s="1"/>
  <c r="C34" i="4" a="1"/>
  <c r="C34" i="4" s="1"/>
  <c r="H34" i="4" a="1"/>
  <c r="H34" i="4" s="1"/>
  <c r="H45" i="4" a="1"/>
  <c r="H45" i="4" s="1"/>
  <c r="H43" i="4" a="1"/>
  <c r="H43" i="4" s="1"/>
  <c r="H36" i="4" a="1"/>
  <c r="H36" i="4" s="1"/>
  <c r="H44" i="4" a="1"/>
  <c r="H44" i="4" s="1"/>
  <c r="H31" i="4" a="1"/>
  <c r="H31" i="4" s="1"/>
  <c r="H32" i="4" a="1"/>
  <c r="H32" i="4" s="1"/>
  <c r="H33" i="4" a="1"/>
  <c r="H33" i="4" s="1"/>
  <c r="C36" i="4" a="1"/>
  <c r="C36" i="4" s="1"/>
  <c r="D43" i="4" a="1"/>
  <c r="D43" i="4" s="1"/>
  <c r="D34" i="4" a="1"/>
  <c r="D34" i="4" s="1"/>
  <c r="D32" i="4" a="1"/>
  <c r="D32" i="4" s="1"/>
  <c r="D33" i="4" a="1"/>
  <c r="D33" i="4" s="1"/>
  <c r="D31" i="4" a="1"/>
  <c r="D31" i="4" s="1"/>
  <c r="D45" i="4" a="1"/>
  <c r="D45" i="4" s="1"/>
  <c r="D44" i="4" a="1"/>
  <c r="D44" i="4" s="1"/>
  <c r="D36" i="4" a="1"/>
  <c r="D36" i="4" s="1"/>
  <c r="C43" i="4" a="1"/>
  <c r="C43" i="4" s="1"/>
  <c r="G45" i="4" a="1"/>
  <c r="G45" i="4" s="1"/>
  <c r="G44" i="4" a="1"/>
  <c r="G44" i="4" s="1"/>
  <c r="G43" i="4" a="1"/>
  <c r="G43" i="4" s="1"/>
  <c r="G36" i="4" a="1"/>
  <c r="G36" i="4" s="1"/>
  <c r="G34" i="4" a="1"/>
  <c r="G34" i="4" s="1"/>
  <c r="G33" i="4" a="1"/>
  <c r="G33" i="4" s="1"/>
  <c r="G32" i="4" a="1"/>
  <c r="G32" i="4" s="1"/>
  <c r="G31" i="4" a="1"/>
  <c r="G31" i="4" s="1"/>
  <c r="E45" i="4" a="1"/>
  <c r="E45" i="4" s="1"/>
  <c r="E44" i="4" a="1"/>
  <c r="E44" i="4" s="1"/>
  <c r="E43" i="4" a="1"/>
  <c r="E43" i="4" s="1"/>
  <c r="E36" i="4" a="1"/>
  <c r="E36" i="4" s="1"/>
  <c r="E34" i="4" a="1"/>
  <c r="E34" i="4" s="1"/>
  <c r="E33" i="4" a="1"/>
  <c r="E33" i="4" s="1"/>
  <c r="E32" i="4" a="1"/>
  <c r="E32" i="4" s="1"/>
  <c r="E31" i="4" a="1"/>
  <c r="E31" i="4" s="1"/>
  <c r="C44" i="4" a="1"/>
  <c r="C44" i="4" s="1"/>
  <c r="C33" i="4" a="1"/>
  <c r="C33" i="4" s="1"/>
  <c r="C32" i="4" a="1"/>
  <c r="C32" i="4" s="1"/>
  <c r="C31" i="4" a="1"/>
  <c r="C31" i="4" s="1"/>
  <c r="I32" i="4" a="1"/>
  <c r="I32" i="4" s="1"/>
  <c r="I33" i="4" a="1"/>
  <c r="I33" i="4" s="1"/>
  <c r="I34" i="4" a="1"/>
  <c r="I34" i="4" s="1"/>
  <c r="I45" i="4" a="1"/>
  <c r="I45" i="4" s="1"/>
  <c r="I44" i="4" a="1"/>
  <c r="I44" i="4" s="1"/>
  <c r="I43" i="4" a="1"/>
  <c r="I43" i="4" s="1"/>
  <c r="I36" i="4" a="1"/>
  <c r="I36" i="4" s="1"/>
  <c r="I31" i="4" a="1"/>
  <c r="I31" i="4" s="1"/>
  <c r="F45" i="4" a="1"/>
  <c r="F45" i="4" s="1"/>
  <c r="F44" i="4" a="1"/>
  <c r="F44" i="4" s="1"/>
  <c r="F43" i="4" a="1"/>
  <c r="F43" i="4" s="1"/>
  <c r="F36" i="4" a="1"/>
  <c r="F36" i="4" s="1"/>
  <c r="F34" i="4" a="1"/>
  <c r="F34" i="4" s="1"/>
  <c r="F33" i="4" a="1"/>
  <c r="F33" i="4" s="1"/>
  <c r="F32" i="4" a="1"/>
  <c r="F32" i="4" s="1"/>
  <c r="F31" i="4" a="1"/>
  <c r="F31" i="4" s="1"/>
  <c r="H53" i="1" a="1"/>
  <c r="H53" i="1" s="1"/>
  <c r="H51" i="1" a="1"/>
  <c r="H51" i="1" s="1"/>
  <c r="H52" i="1" a="1"/>
  <c r="H52" i="1" s="1"/>
  <c r="F51" i="1" a="1"/>
  <c r="F51" i="1" s="1"/>
  <c r="F52" i="1" a="1"/>
  <c r="F52" i="1" s="1"/>
  <c r="F53" i="1" a="1"/>
  <c r="F53" i="1" s="1"/>
  <c r="K51" i="1" a="1"/>
  <c r="K51" i="1" s="1"/>
  <c r="K52" i="1" a="1"/>
  <c r="K52" i="1" s="1"/>
  <c r="K53" i="1" a="1"/>
  <c r="K53" i="1" s="1"/>
  <c r="C50" i="1" a="1"/>
  <c r="C50" i="1" s="1"/>
  <c r="E52" i="1" a="1"/>
  <c r="E52" i="1" s="1"/>
  <c r="E51" i="1" a="1"/>
  <c r="E51" i="1" s="1"/>
  <c r="E53" i="1" a="1"/>
  <c r="E53" i="1" s="1"/>
  <c r="J53" i="1" a="1"/>
  <c r="J53" i="1" s="1"/>
  <c r="E50" i="1" a="1"/>
  <c r="E50" i="1" s="1"/>
  <c r="C52" i="1" a="1"/>
  <c r="C52" i="1" s="1"/>
  <c r="C53" i="1" a="1"/>
  <c r="C53" i="1" s="1"/>
  <c r="J51" i="1" a="1"/>
  <c r="J51" i="1" s="1"/>
  <c r="J52" i="1" a="1"/>
  <c r="J52" i="1" s="1"/>
  <c r="I53" i="1" a="1"/>
  <c r="I53" i="1" s="1"/>
  <c r="I51" i="1" a="1"/>
  <c r="I51" i="1" s="1"/>
  <c r="I52" i="1" a="1"/>
  <c r="I52" i="1" s="1"/>
  <c r="I50" i="1" a="1"/>
  <c r="I50" i="1" s="1"/>
  <c r="D52" i="1" a="1"/>
  <c r="D52" i="1" s="1"/>
  <c r="D51" i="1" a="1"/>
  <c r="D51" i="1" s="1"/>
  <c r="D53" i="1" a="1"/>
  <c r="D53" i="1" s="1"/>
  <c r="G52" i="1" a="1"/>
  <c r="G52" i="1" s="1"/>
  <c r="G51" i="1" a="1"/>
  <c r="G51" i="1" s="1"/>
  <c r="G53" i="1" a="1"/>
  <c r="G53" i="1" s="1"/>
  <c r="K50" i="1" a="1"/>
  <c r="K50" i="1" s="1"/>
  <c r="F50" i="1" a="1"/>
  <c r="F50" i="1" s="1"/>
  <c r="D50" i="1" a="1"/>
  <c r="D50" i="1" s="1"/>
  <c r="G50" i="1" a="1"/>
  <c r="G5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<sst xmlns="http://schemas.openxmlformats.org/spreadsheetml/2006/main" count="185" uniqueCount="65">
  <si>
    <t>Incremental Reported Claims by Accident year</t>
  </si>
  <si>
    <t>Incremental Paid Claims by Accident year</t>
  </si>
  <si>
    <t>AY</t>
  </si>
  <si>
    <t>Cummulative Reported Claims by Accident year</t>
  </si>
  <si>
    <t>Cummulative Paid Claims by Accident year</t>
  </si>
  <si>
    <t>1. Change from Incremental to Cummulative Report and Paid</t>
  </si>
  <si>
    <t>2. Build age-to-age factor triangles</t>
  </si>
  <si>
    <t>12--24</t>
  </si>
  <si>
    <t>24--36</t>
  </si>
  <si>
    <t>36-48</t>
  </si>
  <si>
    <t>48-60</t>
  </si>
  <si>
    <t>60-72</t>
  </si>
  <si>
    <t>72-84</t>
  </si>
  <si>
    <t>84-96</t>
  </si>
  <si>
    <t>96-108</t>
  </si>
  <si>
    <t>108-120</t>
  </si>
  <si>
    <t>Age to age Reported Claims by Accident year</t>
  </si>
  <si>
    <t>3. Factor average</t>
  </si>
  <si>
    <t>Volume-weighted Average</t>
  </si>
  <si>
    <t>Latest 5</t>
  </si>
  <si>
    <t>Avg Age to age Reported Claims by Accident year</t>
  </si>
  <si>
    <t>Latest 4</t>
  </si>
  <si>
    <t>Latest 3</t>
  </si>
  <si>
    <t>Latest 2</t>
  </si>
  <si>
    <t>Simple Average</t>
  </si>
  <si>
    <t>Medial Average</t>
  </si>
  <si>
    <t>Latest 5x1</t>
  </si>
  <si>
    <t>Geometric Average</t>
  </si>
  <si>
    <t>4. Selected Age-to-Age Factors</t>
  </si>
  <si>
    <t>Prior Selected</t>
  </si>
  <si>
    <t>Selected</t>
  </si>
  <si>
    <t>CDF to Ultimate</t>
  </si>
  <si>
    <t>Percent Paid</t>
  </si>
  <si>
    <t>-</t>
  </si>
  <si>
    <t>To Ult</t>
  </si>
  <si>
    <t>Projection of Ultimate Claim Using Reported and Paid Claims</t>
  </si>
  <si>
    <t>Accident Year</t>
  </si>
  <si>
    <t>Age of Accident Year</t>
  </si>
  <si>
    <t>Claims at 31/12/2007</t>
  </si>
  <si>
    <t>Reported</t>
  </si>
  <si>
    <t>Paid</t>
  </si>
  <si>
    <t>Projected Ultimate Claims Using Dev. Method</t>
  </si>
  <si>
    <t>Total</t>
  </si>
  <si>
    <t>Column Notes:</t>
  </si>
  <si>
    <t>(2) Age of accident year in (1) at December 31, 2007</t>
  </si>
  <si>
    <t>(3) and (4) Based on Best's Aggregates &amp; Averages U.S. private passenger automobile experience</t>
  </si>
  <si>
    <t>(5) and (6) Based on CDF from Exhibit I, Sheets 1 and 2</t>
  </si>
  <si>
    <t>(7) = [(3) x (5)]</t>
  </si>
  <si>
    <t>(8) = [(4) x (6)]</t>
  </si>
  <si>
    <t>Dev. Of Unpaid Claim Estimate</t>
  </si>
  <si>
    <t>Unpaid Claim Estimate at 31/12/2007</t>
  </si>
  <si>
    <t>IBNR
(Based on Dev. Method)</t>
  </si>
  <si>
    <t>Total 
(Based on Dev. Method)</t>
  </si>
  <si>
    <t xml:space="preserve">Column Notes: </t>
  </si>
  <si>
    <t>(10) = [(6) + (8)]</t>
  </si>
  <si>
    <t>(9) = [(6) + (7)]</t>
  </si>
  <si>
    <t>(2) and (3) Based on Best's Aggregates &amp; Averages U.S. private passenger automobile experience</t>
  </si>
  <si>
    <t>(4) and (5) Developed in Projection WorkSheet</t>
  </si>
  <si>
    <t>(7) = [(4) - (2)]</t>
  </si>
  <si>
    <t>(8) = [(5) - (2)]</t>
  </si>
  <si>
    <t>(6) = [(2) - (3)]</t>
  </si>
  <si>
    <t>Case O/S at 31/12/2007</t>
  </si>
  <si>
    <t>Percent Reported</t>
  </si>
  <si>
    <t>2. Age to age Paid Claims by Accident year</t>
  </si>
  <si>
    <t>3. Avg Age to age Paid Claims by Accident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</si>
</sst>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0" formatCode="0.000"/>
    <numFmt numFmtId="173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5" xfId="0" applyNumberFormat="1" applyBorder="1"/>
    <xf numFmtId="0" fontId="0" fillId="0" borderId="5" xfId="0" applyBorder="1"/>
    <xf numFmtId="0" fontId="0" fillId="0" borderId="6" xfId="0" applyBorder="1"/>
    <xf numFmtId="3" fontId="0" fillId="0" borderId="0" xfId="0" applyNumberFormat="1"/>
    <xf numFmtId="0" fontId="0" fillId="0" borderId="8" xfId="0" applyBorder="1"/>
    <xf numFmtId="0" fontId="0" fillId="0" borderId="7" xfId="0" applyBorder="1"/>
    <xf numFmtId="0" fontId="0" fillId="0" borderId="5" xfId="0" applyBorder="1" applyAlignment="1">
      <alignment horizontal="right"/>
    </xf>
    <xf numFmtId="0" fontId="0" fillId="0" borderId="10" xfId="0" applyBorder="1"/>
    <xf numFmtId="4" fontId="0" fillId="0" borderId="12" xfId="0" applyNumberFormat="1" applyBorder="1"/>
    <xf numFmtId="0" fontId="0" fillId="0" borderId="13" xfId="0" applyBorder="1"/>
    <xf numFmtId="0" fontId="0" fillId="0" borderId="8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NumberFormat="1"/>
    <xf numFmtId="0" fontId="0" fillId="0" borderId="1" xfId="0" applyNumberFormat="1" applyBorder="1"/>
    <xf numFmtId="0" fontId="0" fillId="0" borderId="5" xfId="0" applyNumberFormat="1" applyBorder="1"/>
    <xf numFmtId="0" fontId="0" fillId="0" borderId="13" xfId="0" applyNumberFormat="1" applyBorder="1"/>
    <xf numFmtId="0" fontId="0" fillId="0" borderId="12" xfId="0" applyNumberFormat="1" applyBorder="1" applyAlignment="1">
      <alignment horizontal="right"/>
    </xf>
    <xf numFmtId="0" fontId="0" fillId="0" borderId="8" xfId="0" applyNumberFormat="1" applyBorder="1" applyAlignment="1">
      <alignment horizontal="right"/>
    </xf>
    <xf numFmtId="0" fontId="0" fillId="0" borderId="5" xfId="0" applyNumberFormat="1" applyBorder="1" applyAlignment="1">
      <alignment horizontal="right"/>
    </xf>
    <xf numFmtId="0" fontId="0" fillId="0" borderId="14" xfId="0" applyNumberFormat="1" applyBorder="1" applyAlignment="1">
      <alignment horizontal="right"/>
    </xf>
    <xf numFmtId="0" fontId="0" fillId="0" borderId="11" xfId="0" applyNumberFormat="1" applyBorder="1" applyAlignment="1">
      <alignment horizontal="right"/>
    </xf>
    <xf numFmtId="0" fontId="0" fillId="0" borderId="0" xfId="0" applyFill="1" applyBorder="1" applyAlignment="1"/>
    <xf numFmtId="0" fontId="0" fillId="0" borderId="5" xfId="0" applyFill="1" applyBorder="1"/>
    <xf numFmtId="10" fontId="0" fillId="0" borderId="5" xfId="2" applyNumberFormat="1" applyFont="1" applyBorder="1"/>
    <xf numFmtId="170" fontId="0" fillId="0" borderId="5" xfId="0" applyNumberFormat="1" applyBorder="1"/>
    <xf numFmtId="170" fontId="0" fillId="0" borderId="8" xfId="0" applyNumberFormat="1" applyBorder="1" applyAlignment="1">
      <alignment wrapText="1"/>
    </xf>
    <xf numFmtId="170" fontId="0" fillId="0" borderId="5" xfId="0" applyNumberFormat="1" applyBorder="1" applyAlignment="1">
      <alignment wrapText="1"/>
    </xf>
    <xf numFmtId="170" fontId="0" fillId="0" borderId="14" xfId="0" applyNumberFormat="1" applyBorder="1"/>
    <xf numFmtId="170" fontId="0" fillId="0" borderId="12" xfId="0" applyNumberFormat="1" applyBorder="1"/>
    <xf numFmtId="170" fontId="0" fillId="0" borderId="11" xfId="0" applyNumberFormat="1" applyBorder="1" applyAlignment="1">
      <alignment vertical="center"/>
    </xf>
    <xf numFmtId="170" fontId="0" fillId="0" borderId="8" xfId="0" applyNumberFormat="1" applyBorder="1"/>
    <xf numFmtId="170" fontId="0" fillId="0" borderId="8" xfId="0" applyNumberFormat="1" applyBorder="1" applyAlignment="1">
      <alignment vertical="center"/>
    </xf>
    <xf numFmtId="170" fontId="0" fillId="0" borderId="5" xfId="0" applyNumberFormat="1" applyBorder="1" applyAlignment="1">
      <alignment vertical="center"/>
    </xf>
    <xf numFmtId="173" fontId="0" fillId="0" borderId="5" xfId="0" applyNumberFormat="1" applyBorder="1"/>
    <xf numFmtId="173" fontId="0" fillId="0" borderId="8" xfId="0" applyNumberFormat="1" applyBorder="1" applyAlignment="1">
      <alignment wrapText="1"/>
    </xf>
    <xf numFmtId="173" fontId="0" fillId="0" borderId="5" xfId="0" applyNumberFormat="1" applyBorder="1" applyAlignment="1">
      <alignment wrapText="1"/>
    </xf>
    <xf numFmtId="173" fontId="0" fillId="0" borderId="14" xfId="0" applyNumberFormat="1" applyBorder="1"/>
    <xf numFmtId="173" fontId="0" fillId="0" borderId="12" xfId="0" applyNumberFormat="1" applyBorder="1"/>
    <xf numFmtId="173" fontId="0" fillId="0" borderId="11" xfId="0" applyNumberFormat="1" applyBorder="1" applyAlignment="1">
      <alignment vertical="center"/>
    </xf>
    <xf numFmtId="173" fontId="0" fillId="0" borderId="8" xfId="0" applyNumberFormat="1" applyBorder="1"/>
    <xf numFmtId="173" fontId="0" fillId="0" borderId="8" xfId="0" applyNumberFormat="1" applyBorder="1" applyAlignment="1">
      <alignment vertical="center"/>
    </xf>
    <xf numFmtId="173" fontId="0" fillId="0" borderId="5" xfId="0" applyNumberFormat="1" applyBorder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3" fontId="0" fillId="0" borderId="5" xfId="1" applyNumberFormat="1" applyFon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3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0" fillId="0" borderId="16" xfId="1" applyNumberFormat="1" applyFont="1" applyBorder="1" applyAlignment="1">
      <alignment horizontal="center" vertical="center"/>
    </xf>
    <xf numFmtId="43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43" fontId="0" fillId="0" borderId="5" xfId="1" applyFont="1" applyBorder="1" applyAlignment="1">
      <alignment horizontal="right" vertical="center"/>
    </xf>
    <xf numFmtId="43" fontId="0" fillId="0" borderId="5" xfId="1" applyFont="1" applyBorder="1" applyAlignment="1">
      <alignment horizontal="right"/>
    </xf>
    <xf numFmtId="43" fontId="0" fillId="0" borderId="16" xfId="1" applyFont="1" applyBorder="1" applyAlignment="1">
      <alignment horizontal="right" vertical="center"/>
    </xf>
    <xf numFmtId="43" fontId="0" fillId="0" borderId="17" xfId="1" applyFont="1" applyBorder="1" applyAlignment="1">
      <alignment horizontal="right" vertical="center"/>
    </xf>
    <xf numFmtId="43" fontId="0" fillId="0" borderId="16" xfId="1" applyFont="1" applyBorder="1" applyAlignment="1">
      <alignment horizontal="right"/>
    </xf>
    <xf numFmtId="0" fontId="0" fillId="0" borderId="0" xfId="0" applyAlignment="1"/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70" fontId="0" fillId="0" borderId="5" xfId="0" applyNumberFormat="1" applyBorder="1" applyAlignment="1">
      <alignment horizontal="center" vertical="center"/>
    </xf>
    <xf numFmtId="170" fontId="0" fillId="0" borderId="16" xfId="0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D929-EECD-491F-AEDC-96FE25BB5A65}">
  <dimension ref="B2:X13"/>
  <sheetViews>
    <sheetView zoomScale="56" zoomScaleNormal="85" workbookViewId="0">
      <selection activeCell="I22" sqref="I22"/>
    </sheetView>
  </sheetViews>
  <sheetFormatPr defaultRowHeight="14.5" x14ac:dyDescent="0.35"/>
  <cols>
    <col min="1" max="1" width="1.453125" customWidth="1"/>
    <col min="2" max="2" width="52.26953125" bestFit="1" customWidth="1"/>
    <col min="3" max="12" width="10.453125" bestFit="1" customWidth="1"/>
    <col min="14" max="14" width="42" style="19" bestFit="1" customWidth="1"/>
    <col min="15" max="16" width="10.453125" bestFit="1" customWidth="1"/>
    <col min="17" max="24" width="11.54296875" bestFit="1" customWidth="1"/>
  </cols>
  <sheetData>
    <row r="2" spans="2:24" ht="15" thickBot="1" x14ac:dyDescent="0.4">
      <c r="B2" t="s">
        <v>0</v>
      </c>
      <c r="N2" s="19" t="s">
        <v>1</v>
      </c>
    </row>
    <row r="3" spans="2:24" x14ac:dyDescent="0.35">
      <c r="B3" s="1" t="s">
        <v>2</v>
      </c>
      <c r="C3" s="2">
        <v>12</v>
      </c>
      <c r="D3" s="2">
        <f>C3+12</f>
        <v>24</v>
      </c>
      <c r="E3" s="2">
        <f t="shared" ref="E3:L3" si="0">D3+12</f>
        <v>36</v>
      </c>
      <c r="F3" s="2">
        <f t="shared" si="0"/>
        <v>48</v>
      </c>
      <c r="G3" s="2">
        <f t="shared" si="0"/>
        <v>60</v>
      </c>
      <c r="H3" s="2">
        <f t="shared" si="0"/>
        <v>72</v>
      </c>
      <c r="I3" s="2">
        <f t="shared" si="0"/>
        <v>84</v>
      </c>
      <c r="J3" s="2">
        <f t="shared" si="0"/>
        <v>96</v>
      </c>
      <c r="K3" s="2">
        <f t="shared" si="0"/>
        <v>108</v>
      </c>
      <c r="L3" s="3">
        <f t="shared" si="0"/>
        <v>120</v>
      </c>
      <c r="N3" s="20" t="s">
        <v>2</v>
      </c>
      <c r="O3" s="2">
        <v>12</v>
      </c>
      <c r="P3" s="2">
        <f t="shared" ref="P3:X3" si="1">O3+12</f>
        <v>24</v>
      </c>
      <c r="Q3" s="2">
        <f t="shared" si="1"/>
        <v>36</v>
      </c>
      <c r="R3" s="2">
        <f t="shared" si="1"/>
        <v>48</v>
      </c>
      <c r="S3" s="2">
        <f t="shared" si="1"/>
        <v>60</v>
      </c>
      <c r="T3" s="2">
        <f t="shared" si="1"/>
        <v>72</v>
      </c>
      <c r="U3" s="2">
        <f t="shared" si="1"/>
        <v>84</v>
      </c>
      <c r="V3" s="2">
        <f t="shared" si="1"/>
        <v>96</v>
      </c>
      <c r="W3" s="2">
        <f t="shared" si="1"/>
        <v>108</v>
      </c>
      <c r="X3" s="3">
        <f t="shared" si="1"/>
        <v>120</v>
      </c>
    </row>
    <row r="4" spans="2:24" x14ac:dyDescent="0.35">
      <c r="B4" s="4">
        <v>1998</v>
      </c>
      <c r="C4" s="5">
        <v>37017487</v>
      </c>
      <c r="D4" s="5">
        <v>6151522</v>
      </c>
      <c r="E4" s="5">
        <v>2399910</v>
      </c>
      <c r="F4" s="5">
        <v>1215639</v>
      </c>
      <c r="G4" s="5">
        <v>552760</v>
      </c>
      <c r="H4" s="5">
        <v>195946</v>
      </c>
      <c r="I4" s="5">
        <v>101155</v>
      </c>
      <c r="J4" s="5">
        <v>55236</v>
      </c>
      <c r="K4" s="5">
        <v>35023</v>
      </c>
      <c r="L4" s="5">
        <v>17626</v>
      </c>
      <c r="N4" s="21">
        <v>1998</v>
      </c>
      <c r="O4" s="5">
        <v>18539254</v>
      </c>
      <c r="P4" s="5">
        <v>33231039</v>
      </c>
      <c r="Q4" s="5">
        <v>40062008</v>
      </c>
      <c r="R4" s="5">
        <v>43892039</v>
      </c>
      <c r="S4" s="5">
        <v>45896535</v>
      </c>
      <c r="T4" s="5">
        <v>46765422</v>
      </c>
      <c r="U4" s="5">
        <v>47221322</v>
      </c>
      <c r="V4" s="5">
        <v>47446877</v>
      </c>
      <c r="W4" s="5">
        <v>47555456</v>
      </c>
      <c r="X4" s="5">
        <v>47644187</v>
      </c>
    </row>
    <row r="5" spans="2:24" x14ac:dyDescent="0.35">
      <c r="B5" s="4">
        <v>1999</v>
      </c>
      <c r="C5" s="5">
        <v>38954484</v>
      </c>
      <c r="D5" s="5">
        <v>7091234</v>
      </c>
      <c r="E5" s="5">
        <v>2837206</v>
      </c>
      <c r="F5" s="5">
        <v>1336748</v>
      </c>
      <c r="G5" s="5">
        <v>509620</v>
      </c>
      <c r="H5" s="5">
        <v>197487</v>
      </c>
      <c r="I5" s="5">
        <v>142506</v>
      </c>
      <c r="J5" s="5">
        <v>94255</v>
      </c>
      <c r="K5" s="5">
        <v>22227</v>
      </c>
      <c r="L5" s="5"/>
      <c r="N5" s="21">
        <v>1999</v>
      </c>
      <c r="O5" s="5">
        <v>20410193</v>
      </c>
      <c r="P5" s="5">
        <v>36090684</v>
      </c>
      <c r="Q5" s="5">
        <v>43259402</v>
      </c>
      <c r="R5" s="5">
        <v>47159241</v>
      </c>
      <c r="S5" s="5">
        <v>49208532</v>
      </c>
      <c r="T5" s="5">
        <v>50162043</v>
      </c>
      <c r="U5" s="5">
        <v>50625757</v>
      </c>
      <c r="V5" s="5">
        <v>50878808</v>
      </c>
      <c r="W5" s="5">
        <v>51000534</v>
      </c>
      <c r="X5" s="6"/>
    </row>
    <row r="6" spans="2:24" x14ac:dyDescent="0.35">
      <c r="B6" s="4">
        <v>2000</v>
      </c>
      <c r="C6" s="5">
        <v>41155776</v>
      </c>
      <c r="D6" s="5">
        <v>8215702</v>
      </c>
      <c r="E6" s="5">
        <v>2986998</v>
      </c>
      <c r="F6" s="5">
        <v>1421846</v>
      </c>
      <c r="G6" s="5">
        <v>522764</v>
      </c>
      <c r="H6" s="5">
        <v>279864</v>
      </c>
      <c r="I6" s="5">
        <v>159238</v>
      </c>
      <c r="J6" s="5">
        <v>95741</v>
      </c>
      <c r="K6" s="5"/>
      <c r="L6" s="5"/>
      <c r="N6" s="21">
        <v>2000</v>
      </c>
      <c r="O6" s="5">
        <v>22120843</v>
      </c>
      <c r="P6" s="5">
        <v>38976014</v>
      </c>
      <c r="Q6" s="5">
        <v>46389282</v>
      </c>
      <c r="R6" s="5">
        <v>50562385</v>
      </c>
      <c r="S6" s="5">
        <v>52735280</v>
      </c>
      <c r="T6" s="5">
        <v>53740101</v>
      </c>
      <c r="U6" s="5">
        <v>54284334</v>
      </c>
      <c r="V6" s="5">
        <v>54533225</v>
      </c>
      <c r="W6" s="5"/>
      <c r="X6" s="6"/>
    </row>
    <row r="7" spans="2:24" x14ac:dyDescent="0.35">
      <c r="B7" s="4">
        <v>2001</v>
      </c>
      <c r="C7" s="5">
        <v>42394069</v>
      </c>
      <c r="D7" s="5">
        <v>8190043</v>
      </c>
      <c r="E7" s="5">
        <v>3120184</v>
      </c>
      <c r="F7" s="5">
        <v>1445822</v>
      </c>
      <c r="G7" s="5">
        <v>745465</v>
      </c>
      <c r="H7" s="5">
        <v>261144</v>
      </c>
      <c r="I7" s="5">
        <v>142835</v>
      </c>
      <c r="J7" s="5"/>
      <c r="K7" s="5"/>
      <c r="L7" s="5"/>
      <c r="N7" s="21">
        <v>2001</v>
      </c>
      <c r="O7" s="5">
        <v>22992259</v>
      </c>
      <c r="P7" s="5">
        <v>40096198</v>
      </c>
      <c r="Q7" s="5">
        <v>47767835</v>
      </c>
      <c r="R7" s="5">
        <v>52093916</v>
      </c>
      <c r="S7" s="5">
        <v>54363436</v>
      </c>
      <c r="T7" s="5">
        <v>55378801</v>
      </c>
      <c r="U7" s="5">
        <v>55878421</v>
      </c>
      <c r="V7" s="5"/>
      <c r="W7" s="5"/>
      <c r="X7" s="6"/>
    </row>
    <row r="8" spans="2:24" x14ac:dyDescent="0.35">
      <c r="B8" s="4">
        <v>2002</v>
      </c>
      <c r="C8" s="5">
        <v>44755243</v>
      </c>
      <c r="D8" s="5">
        <v>8216400</v>
      </c>
      <c r="E8" s="5">
        <v>3130669</v>
      </c>
      <c r="F8" s="5">
        <v>1601539</v>
      </c>
      <c r="G8" s="5">
        <v>659713</v>
      </c>
      <c r="H8" s="5">
        <v>229148</v>
      </c>
      <c r="I8" s="5"/>
      <c r="J8" s="5"/>
      <c r="K8" s="5"/>
      <c r="L8" s="5"/>
      <c r="N8" s="21">
        <v>2002</v>
      </c>
      <c r="O8" s="5">
        <v>24092782</v>
      </c>
      <c r="P8" s="5">
        <v>41795313</v>
      </c>
      <c r="Q8" s="5">
        <v>49903803</v>
      </c>
      <c r="R8" s="5">
        <v>54352884</v>
      </c>
      <c r="S8" s="5">
        <v>56754376</v>
      </c>
      <c r="T8" s="5">
        <v>57807215</v>
      </c>
      <c r="U8" s="5"/>
      <c r="V8" s="5"/>
      <c r="W8" s="5"/>
      <c r="X8" s="6"/>
    </row>
    <row r="9" spans="2:24" x14ac:dyDescent="0.35">
      <c r="B9" s="4">
        <v>2003</v>
      </c>
      <c r="C9" s="5">
        <v>45163102</v>
      </c>
      <c r="D9" s="5">
        <v>7334629</v>
      </c>
      <c r="E9" s="5">
        <v>2970820</v>
      </c>
      <c r="F9" s="5">
        <v>1546860</v>
      </c>
      <c r="G9" s="5">
        <v>549933</v>
      </c>
      <c r="H9" s="5"/>
      <c r="I9" s="5"/>
      <c r="J9" s="5"/>
      <c r="K9" s="5"/>
      <c r="L9" s="5"/>
      <c r="N9" s="21">
        <v>2003</v>
      </c>
      <c r="O9" s="5">
        <v>24084451</v>
      </c>
      <c r="P9" s="5">
        <v>41399612</v>
      </c>
      <c r="Q9" s="5">
        <v>49070332</v>
      </c>
      <c r="R9" s="5">
        <v>53584201</v>
      </c>
      <c r="S9" s="5">
        <v>55930654</v>
      </c>
      <c r="T9" s="5"/>
      <c r="U9" s="5"/>
      <c r="V9" s="5"/>
      <c r="W9" s="5"/>
      <c r="X9" s="6"/>
    </row>
    <row r="10" spans="2:24" x14ac:dyDescent="0.35">
      <c r="B10" s="4">
        <v>2004</v>
      </c>
      <c r="C10" s="5">
        <v>45417309</v>
      </c>
      <c r="D10" s="5">
        <v>7223013</v>
      </c>
      <c r="E10" s="5">
        <v>2913351</v>
      </c>
      <c r="F10" s="5">
        <v>1422984</v>
      </c>
      <c r="G10" s="5"/>
      <c r="H10" s="5"/>
      <c r="I10" s="5"/>
      <c r="J10" s="5"/>
      <c r="K10" s="5"/>
      <c r="L10" s="5"/>
      <c r="N10" s="21">
        <v>2004</v>
      </c>
      <c r="O10" s="5">
        <v>24369770</v>
      </c>
      <c r="P10" s="5">
        <v>41489863</v>
      </c>
      <c r="Q10" s="5">
        <v>49236678</v>
      </c>
      <c r="R10" s="5">
        <v>53774672</v>
      </c>
      <c r="S10" s="5"/>
      <c r="T10" s="5"/>
      <c r="U10" s="5"/>
      <c r="V10" s="5"/>
      <c r="W10" s="5"/>
      <c r="X10" s="6"/>
    </row>
    <row r="11" spans="2:24" x14ac:dyDescent="0.35">
      <c r="B11" s="4">
        <v>2005</v>
      </c>
      <c r="C11" s="5">
        <v>46360869</v>
      </c>
      <c r="D11" s="5">
        <v>7429192</v>
      </c>
      <c r="E11" s="5">
        <v>2996349</v>
      </c>
      <c r="F11" s="5"/>
      <c r="G11" s="5"/>
      <c r="H11" s="5"/>
      <c r="I11" s="5"/>
      <c r="J11" s="5"/>
      <c r="K11" s="5"/>
      <c r="L11" s="5"/>
      <c r="N11" s="21">
        <v>2005</v>
      </c>
      <c r="O11" s="5">
        <v>25100697</v>
      </c>
      <c r="P11" s="5">
        <v>42702229</v>
      </c>
      <c r="Q11" s="5">
        <v>50644994</v>
      </c>
      <c r="R11" s="5"/>
      <c r="S11" s="5"/>
      <c r="T11" s="5"/>
      <c r="U11" s="5"/>
      <c r="V11" s="5"/>
      <c r="W11" s="5"/>
      <c r="X11" s="6"/>
    </row>
    <row r="12" spans="2:24" x14ac:dyDescent="0.35">
      <c r="B12" s="4">
        <v>2006</v>
      </c>
      <c r="C12" s="5">
        <v>46582684</v>
      </c>
      <c r="D12" s="5">
        <v>8058655</v>
      </c>
      <c r="E12" s="5"/>
      <c r="F12" s="5"/>
      <c r="G12" s="5"/>
      <c r="H12" s="5"/>
      <c r="I12" s="5"/>
      <c r="J12" s="5"/>
      <c r="K12" s="5"/>
      <c r="L12" s="5"/>
      <c r="N12" s="21">
        <v>2006</v>
      </c>
      <c r="O12" s="5">
        <v>25608776</v>
      </c>
      <c r="P12" s="5">
        <v>43606497</v>
      </c>
      <c r="Q12" s="5"/>
      <c r="R12" s="5"/>
      <c r="S12" s="5"/>
      <c r="T12" s="5"/>
      <c r="U12" s="5"/>
      <c r="V12" s="5"/>
      <c r="W12" s="5"/>
      <c r="X12" s="6"/>
    </row>
    <row r="13" spans="2:24" ht="15" thickBot="1" x14ac:dyDescent="0.4">
      <c r="B13" s="7">
        <v>2007</v>
      </c>
      <c r="C13" s="5">
        <v>48853563</v>
      </c>
      <c r="D13" s="5"/>
      <c r="E13" s="5"/>
      <c r="F13" s="5"/>
      <c r="G13" s="5"/>
      <c r="H13" s="5"/>
      <c r="I13" s="5"/>
      <c r="J13" s="5"/>
      <c r="K13" s="5"/>
      <c r="L13" s="5"/>
      <c r="N13" s="21">
        <v>2007</v>
      </c>
      <c r="O13" s="5">
        <v>27229969</v>
      </c>
      <c r="P13" s="5"/>
      <c r="Q13" s="5"/>
      <c r="R13" s="5"/>
      <c r="S13" s="5"/>
      <c r="T13" s="5"/>
      <c r="U13" s="5"/>
      <c r="V13" s="5"/>
      <c r="W13" s="5"/>
      <c r="X1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2"/>
  <sheetViews>
    <sheetView tabSelected="1" topLeftCell="A7" zoomScale="41" zoomScaleNormal="85" workbookViewId="0">
      <selection activeCell="B66" sqref="B66"/>
    </sheetView>
  </sheetViews>
  <sheetFormatPr defaultRowHeight="14.5" x14ac:dyDescent="0.35"/>
  <cols>
    <col min="1" max="1" width="1.453125" customWidth="1"/>
    <col min="2" max="2" width="52.26953125" bestFit="1" customWidth="1"/>
    <col min="3" max="12" width="10.453125" bestFit="1" customWidth="1"/>
  </cols>
  <sheetData>
    <row r="2" spans="2:12" ht="15" thickBot="1" x14ac:dyDescent="0.4">
      <c r="B2" t="s">
        <v>0</v>
      </c>
    </row>
    <row r="3" spans="2:12" x14ac:dyDescent="0.35">
      <c r="B3" s="1" t="s">
        <v>2</v>
      </c>
      <c r="C3" s="2">
        <v>12</v>
      </c>
      <c r="D3" s="2">
        <f>C3+12</f>
        <v>24</v>
      </c>
      <c r="E3" s="2">
        <f t="shared" ref="E3:L3" si="0">D3+12</f>
        <v>36</v>
      </c>
      <c r="F3" s="2">
        <f t="shared" si="0"/>
        <v>48</v>
      </c>
      <c r="G3" s="2">
        <f t="shared" si="0"/>
        <v>60</v>
      </c>
      <c r="H3" s="2">
        <f t="shared" si="0"/>
        <v>72</v>
      </c>
      <c r="I3" s="2">
        <f t="shared" si="0"/>
        <v>84</v>
      </c>
      <c r="J3" s="2">
        <f t="shared" si="0"/>
        <v>96</v>
      </c>
      <c r="K3" s="2">
        <f t="shared" si="0"/>
        <v>108</v>
      </c>
      <c r="L3" s="3">
        <f t="shared" si="0"/>
        <v>120</v>
      </c>
    </row>
    <row r="4" spans="2:12" x14ac:dyDescent="0.35">
      <c r="B4" s="4">
        <v>1998</v>
      </c>
      <c r="C4" s="5">
        <v>37017487</v>
      </c>
      <c r="D4" s="5">
        <v>6151522</v>
      </c>
      <c r="E4" s="5">
        <v>2399910</v>
      </c>
      <c r="F4" s="5">
        <v>1215639</v>
      </c>
      <c r="G4" s="5">
        <v>552760</v>
      </c>
      <c r="H4" s="5">
        <v>195946</v>
      </c>
      <c r="I4" s="5">
        <v>101155</v>
      </c>
      <c r="J4" s="5">
        <v>55236</v>
      </c>
      <c r="K4" s="5">
        <v>35023</v>
      </c>
      <c r="L4" s="5">
        <v>17626</v>
      </c>
    </row>
    <row r="5" spans="2:12" x14ac:dyDescent="0.35">
      <c r="B5" s="4">
        <v>1999</v>
      </c>
      <c r="C5" s="5">
        <v>38954484</v>
      </c>
      <c r="D5" s="5">
        <v>7091234</v>
      </c>
      <c r="E5" s="5">
        <v>2837206</v>
      </c>
      <c r="F5" s="5">
        <v>1336748</v>
      </c>
      <c r="G5" s="5">
        <v>509620</v>
      </c>
      <c r="H5" s="5">
        <v>197487</v>
      </c>
      <c r="I5" s="5">
        <v>142506</v>
      </c>
      <c r="J5" s="5">
        <v>94255</v>
      </c>
      <c r="K5" s="5">
        <v>22227</v>
      </c>
      <c r="L5" s="5"/>
    </row>
    <row r="6" spans="2:12" x14ac:dyDescent="0.35">
      <c r="B6" s="4">
        <v>2000</v>
      </c>
      <c r="C6" s="5">
        <v>41155776</v>
      </c>
      <c r="D6" s="5">
        <v>8215702</v>
      </c>
      <c r="E6" s="5">
        <v>2986998</v>
      </c>
      <c r="F6" s="5">
        <v>1421846</v>
      </c>
      <c r="G6" s="5">
        <v>522764</v>
      </c>
      <c r="H6" s="5">
        <v>279864</v>
      </c>
      <c r="I6" s="5">
        <v>159238</v>
      </c>
      <c r="J6" s="5">
        <v>95741</v>
      </c>
      <c r="K6" s="5"/>
      <c r="L6" s="5"/>
    </row>
    <row r="7" spans="2:12" x14ac:dyDescent="0.35">
      <c r="B7" s="4">
        <v>2001</v>
      </c>
      <c r="C7" s="5">
        <v>42394069</v>
      </c>
      <c r="D7" s="5">
        <v>8190043</v>
      </c>
      <c r="E7" s="5">
        <v>3120184</v>
      </c>
      <c r="F7" s="5">
        <v>1445822</v>
      </c>
      <c r="G7" s="5">
        <v>745465</v>
      </c>
      <c r="H7" s="5">
        <v>261144</v>
      </c>
      <c r="I7" s="5">
        <v>142835</v>
      </c>
      <c r="J7" s="5"/>
      <c r="K7" s="5"/>
      <c r="L7" s="5"/>
    </row>
    <row r="8" spans="2:12" x14ac:dyDescent="0.35">
      <c r="B8" s="4">
        <v>2002</v>
      </c>
      <c r="C8" s="5">
        <v>44755243</v>
      </c>
      <c r="D8" s="5">
        <v>8216400</v>
      </c>
      <c r="E8" s="5">
        <v>3130669</v>
      </c>
      <c r="F8" s="5">
        <v>1601539</v>
      </c>
      <c r="G8" s="5">
        <v>659713</v>
      </c>
      <c r="H8" s="5">
        <v>229148</v>
      </c>
      <c r="I8" s="5"/>
      <c r="J8" s="5"/>
      <c r="K8" s="5"/>
      <c r="L8" s="5"/>
    </row>
    <row r="9" spans="2:12" x14ac:dyDescent="0.35">
      <c r="B9" s="4">
        <v>2003</v>
      </c>
      <c r="C9" s="5">
        <v>45163102</v>
      </c>
      <c r="D9" s="5">
        <v>7334629</v>
      </c>
      <c r="E9" s="5">
        <v>2970820</v>
      </c>
      <c r="F9" s="5">
        <v>1546860</v>
      </c>
      <c r="G9" s="5">
        <v>549933</v>
      </c>
      <c r="H9" s="5"/>
      <c r="I9" s="5"/>
      <c r="J9" s="5"/>
      <c r="K9" s="5"/>
      <c r="L9" s="5"/>
    </row>
    <row r="10" spans="2:12" x14ac:dyDescent="0.35">
      <c r="B10" s="4">
        <v>2004</v>
      </c>
      <c r="C10" s="5">
        <v>45417309</v>
      </c>
      <c r="D10" s="5">
        <v>7223013</v>
      </c>
      <c r="E10" s="5">
        <v>2913351</v>
      </c>
      <c r="F10" s="5">
        <v>1422984</v>
      </c>
      <c r="G10" s="5"/>
      <c r="H10" s="5"/>
      <c r="I10" s="5"/>
      <c r="J10" s="5"/>
      <c r="K10" s="5"/>
      <c r="L10" s="5"/>
    </row>
    <row r="11" spans="2:12" x14ac:dyDescent="0.35">
      <c r="B11" s="4">
        <v>2005</v>
      </c>
      <c r="C11" s="5">
        <v>46360869</v>
      </c>
      <c r="D11" s="5">
        <v>7429192</v>
      </c>
      <c r="E11" s="5">
        <v>2996349</v>
      </c>
      <c r="F11" s="5"/>
      <c r="G11" s="5"/>
      <c r="H11" s="5"/>
      <c r="I11" s="5"/>
      <c r="J11" s="5"/>
      <c r="K11" s="5"/>
      <c r="L11" s="5"/>
    </row>
    <row r="12" spans="2:12" x14ac:dyDescent="0.35">
      <c r="B12" s="4">
        <v>2006</v>
      </c>
      <c r="C12" s="5">
        <v>46582684</v>
      </c>
      <c r="D12" s="5">
        <v>8058655</v>
      </c>
      <c r="E12" s="5"/>
      <c r="F12" s="5"/>
      <c r="G12" s="5"/>
      <c r="H12" s="5"/>
      <c r="I12" s="5"/>
      <c r="J12" s="5"/>
      <c r="K12" s="5"/>
      <c r="L12" s="5"/>
    </row>
    <row r="13" spans="2:12" ht="15" thickBot="1" x14ac:dyDescent="0.4">
      <c r="B13" s="7">
        <v>2007</v>
      </c>
      <c r="C13" s="5">
        <v>48853563</v>
      </c>
      <c r="D13" s="5"/>
      <c r="E13" s="5"/>
      <c r="F13" s="5"/>
      <c r="G13" s="5"/>
      <c r="H13" s="5"/>
      <c r="I13" s="5"/>
      <c r="J13" s="5"/>
      <c r="K13" s="5"/>
      <c r="L13" s="5"/>
    </row>
    <row r="15" spans="2:12" x14ac:dyDescent="0.35">
      <c r="B15" t="s">
        <v>5</v>
      </c>
    </row>
    <row r="17" spans="2:12" ht="15" thickBot="1" x14ac:dyDescent="0.4">
      <c r="B17" t="s">
        <v>3</v>
      </c>
    </row>
    <row r="18" spans="2:12" x14ac:dyDescent="0.35">
      <c r="B18" s="1" t="s">
        <v>2</v>
      </c>
      <c r="C18" s="2">
        <v>12</v>
      </c>
      <c r="D18" s="2">
        <f>C18+12</f>
        <v>24</v>
      </c>
      <c r="E18" s="2">
        <f t="shared" ref="E18" si="1">D18+12</f>
        <v>36</v>
      </c>
      <c r="F18" s="2">
        <f t="shared" ref="F18" si="2">E18+12</f>
        <v>48</v>
      </c>
      <c r="G18" s="2">
        <f t="shared" ref="G18" si="3">F18+12</f>
        <v>60</v>
      </c>
      <c r="H18" s="2">
        <f t="shared" ref="H18" si="4">G18+12</f>
        <v>72</v>
      </c>
      <c r="I18" s="2">
        <f t="shared" ref="I18" si="5">H18+12</f>
        <v>84</v>
      </c>
      <c r="J18" s="2">
        <f t="shared" ref="J18" si="6">I18+12</f>
        <v>96</v>
      </c>
      <c r="K18" s="2">
        <f t="shared" ref="K18" si="7">J18+12</f>
        <v>108</v>
      </c>
      <c r="L18" s="3">
        <f t="shared" ref="L18" si="8">K18+12</f>
        <v>120</v>
      </c>
    </row>
    <row r="19" spans="2:12" x14ac:dyDescent="0.35">
      <c r="B19" s="4">
        <v>1998</v>
      </c>
      <c r="C19" s="5">
        <f>C4</f>
        <v>37017487</v>
      </c>
      <c r="D19" s="5">
        <f t="shared" ref="D19:D28" si="9">IF(D4="","",SUM(C4:D4))</f>
        <v>43169009</v>
      </c>
      <c r="E19" s="5">
        <f t="shared" ref="E19:E28" si="10">IF(E4="","",SUM(C4:E4))</f>
        <v>45568919</v>
      </c>
      <c r="F19" s="5">
        <f t="shared" ref="F19:F28" si="11">IF(F4="","",SUM(C4:F4))</f>
        <v>46784558</v>
      </c>
      <c r="G19" s="5">
        <f t="shared" ref="G19:G28" si="12">IF(G4="","",SUM(C4:G4))</f>
        <v>47337318</v>
      </c>
      <c r="H19" s="5">
        <f t="shared" ref="H19:H28" si="13">IF(H4="","",SUM(C4:H4))</f>
        <v>47533264</v>
      </c>
      <c r="I19" s="5">
        <f t="shared" ref="I19:I28" si="14">IF(I4="","",SUM(C4:I4))</f>
        <v>47634419</v>
      </c>
      <c r="J19" s="5">
        <f t="shared" ref="J19:J28" si="15">IF(J4="","",SUM(C4:J4))</f>
        <v>47689655</v>
      </c>
      <c r="K19" s="5">
        <f t="shared" ref="K19:K28" si="16">IF(K4="","",SUM(C4:K4))</f>
        <v>47724678</v>
      </c>
      <c r="L19" s="5">
        <f t="shared" ref="L19:L28" si="17">IF(L4="","",SUM(C4:L4))</f>
        <v>47742304</v>
      </c>
    </row>
    <row r="20" spans="2:12" x14ac:dyDescent="0.35">
      <c r="B20" s="4">
        <v>1999</v>
      </c>
      <c r="C20" s="5">
        <f t="shared" ref="C20:C28" si="18">C5</f>
        <v>38954484</v>
      </c>
      <c r="D20" s="5">
        <f t="shared" si="9"/>
        <v>46045718</v>
      </c>
      <c r="E20" s="5">
        <f t="shared" si="10"/>
        <v>48882924</v>
      </c>
      <c r="F20" s="5">
        <f t="shared" si="11"/>
        <v>50219672</v>
      </c>
      <c r="G20" s="5">
        <f t="shared" si="12"/>
        <v>50729292</v>
      </c>
      <c r="H20" s="5">
        <f t="shared" si="13"/>
        <v>50926779</v>
      </c>
      <c r="I20" s="5">
        <f t="shared" si="14"/>
        <v>51069285</v>
      </c>
      <c r="J20" s="5">
        <f t="shared" si="15"/>
        <v>51163540</v>
      </c>
      <c r="K20" s="5">
        <f t="shared" si="16"/>
        <v>51185767</v>
      </c>
      <c r="L20" s="5" t="str">
        <f t="shared" si="17"/>
        <v/>
      </c>
    </row>
    <row r="21" spans="2:12" x14ac:dyDescent="0.35">
      <c r="B21" s="4">
        <v>2000</v>
      </c>
      <c r="C21" s="5">
        <f t="shared" si="18"/>
        <v>41155776</v>
      </c>
      <c r="D21" s="5">
        <f t="shared" si="9"/>
        <v>49371478</v>
      </c>
      <c r="E21" s="5">
        <f t="shared" si="10"/>
        <v>52358476</v>
      </c>
      <c r="F21" s="5">
        <f t="shared" si="11"/>
        <v>53780322</v>
      </c>
      <c r="G21" s="5">
        <f t="shared" si="12"/>
        <v>54303086</v>
      </c>
      <c r="H21" s="5">
        <f t="shared" si="13"/>
        <v>54582950</v>
      </c>
      <c r="I21" s="5">
        <f t="shared" si="14"/>
        <v>54742188</v>
      </c>
      <c r="J21" s="5">
        <f t="shared" si="15"/>
        <v>54837929</v>
      </c>
      <c r="K21" s="5" t="str">
        <f t="shared" si="16"/>
        <v/>
      </c>
      <c r="L21" s="5" t="str">
        <f t="shared" si="17"/>
        <v/>
      </c>
    </row>
    <row r="22" spans="2:12" x14ac:dyDescent="0.35">
      <c r="B22" s="4">
        <v>2001</v>
      </c>
      <c r="C22" s="5">
        <f t="shared" si="18"/>
        <v>42394069</v>
      </c>
      <c r="D22" s="5">
        <f t="shared" si="9"/>
        <v>50584112</v>
      </c>
      <c r="E22" s="5">
        <f t="shared" si="10"/>
        <v>53704296</v>
      </c>
      <c r="F22" s="5">
        <f t="shared" si="11"/>
        <v>55150118</v>
      </c>
      <c r="G22" s="5">
        <f t="shared" si="12"/>
        <v>55895583</v>
      </c>
      <c r="H22" s="5">
        <f t="shared" si="13"/>
        <v>56156727</v>
      </c>
      <c r="I22" s="5">
        <f t="shared" si="14"/>
        <v>56299562</v>
      </c>
      <c r="J22" s="5" t="str">
        <f t="shared" si="15"/>
        <v/>
      </c>
      <c r="K22" s="5" t="str">
        <f t="shared" si="16"/>
        <v/>
      </c>
      <c r="L22" s="5" t="str">
        <f t="shared" si="17"/>
        <v/>
      </c>
    </row>
    <row r="23" spans="2:12" x14ac:dyDescent="0.35">
      <c r="B23" s="4">
        <v>2002</v>
      </c>
      <c r="C23" s="5">
        <f t="shared" si="18"/>
        <v>44755243</v>
      </c>
      <c r="D23" s="5">
        <f t="shared" si="9"/>
        <v>52971643</v>
      </c>
      <c r="E23" s="5">
        <f t="shared" si="10"/>
        <v>56102312</v>
      </c>
      <c r="F23" s="5">
        <f t="shared" si="11"/>
        <v>57703851</v>
      </c>
      <c r="G23" s="5">
        <f t="shared" si="12"/>
        <v>58363564</v>
      </c>
      <c r="H23" s="5">
        <f t="shared" si="13"/>
        <v>58592712</v>
      </c>
      <c r="I23" s="5" t="str">
        <f t="shared" si="14"/>
        <v/>
      </c>
      <c r="J23" s="5" t="str">
        <f t="shared" si="15"/>
        <v/>
      </c>
      <c r="K23" s="5" t="str">
        <f t="shared" si="16"/>
        <v/>
      </c>
      <c r="L23" s="5" t="str">
        <f t="shared" si="17"/>
        <v/>
      </c>
    </row>
    <row r="24" spans="2:12" x14ac:dyDescent="0.35">
      <c r="B24" s="4">
        <v>2003</v>
      </c>
      <c r="C24" s="5">
        <f t="shared" si="18"/>
        <v>45163102</v>
      </c>
      <c r="D24" s="5">
        <f t="shared" si="9"/>
        <v>52497731</v>
      </c>
      <c r="E24" s="5">
        <f t="shared" si="10"/>
        <v>55468551</v>
      </c>
      <c r="F24" s="5">
        <f t="shared" si="11"/>
        <v>57015411</v>
      </c>
      <c r="G24" s="5">
        <f t="shared" si="12"/>
        <v>57565344</v>
      </c>
      <c r="H24" s="5" t="str">
        <f t="shared" si="13"/>
        <v/>
      </c>
      <c r="I24" s="5" t="str">
        <f t="shared" si="14"/>
        <v/>
      </c>
      <c r="J24" s="5" t="str">
        <f t="shared" si="15"/>
        <v/>
      </c>
      <c r="K24" s="5" t="str">
        <f t="shared" si="16"/>
        <v/>
      </c>
      <c r="L24" s="5" t="str">
        <f t="shared" si="17"/>
        <v/>
      </c>
    </row>
    <row r="25" spans="2:12" x14ac:dyDescent="0.35">
      <c r="B25" s="4">
        <v>2004</v>
      </c>
      <c r="C25" s="5">
        <f t="shared" si="18"/>
        <v>45417309</v>
      </c>
      <c r="D25" s="5">
        <f t="shared" si="9"/>
        <v>52640322</v>
      </c>
      <c r="E25" s="5">
        <f t="shared" si="10"/>
        <v>55553673</v>
      </c>
      <c r="F25" s="5">
        <f t="shared" si="11"/>
        <v>56976657</v>
      </c>
      <c r="G25" s="5" t="str">
        <f t="shared" si="12"/>
        <v/>
      </c>
      <c r="H25" s="5" t="str">
        <f t="shared" si="13"/>
        <v/>
      </c>
      <c r="I25" s="5" t="str">
        <f t="shared" si="14"/>
        <v/>
      </c>
      <c r="J25" s="5" t="str">
        <f t="shared" si="15"/>
        <v/>
      </c>
      <c r="K25" s="5" t="str">
        <f t="shared" si="16"/>
        <v/>
      </c>
      <c r="L25" s="5" t="str">
        <f t="shared" si="17"/>
        <v/>
      </c>
    </row>
    <row r="26" spans="2:12" x14ac:dyDescent="0.35">
      <c r="B26" s="4">
        <v>2005</v>
      </c>
      <c r="C26" s="5">
        <f t="shared" si="18"/>
        <v>46360869</v>
      </c>
      <c r="D26" s="5">
        <f t="shared" si="9"/>
        <v>53790061</v>
      </c>
      <c r="E26" s="5">
        <f t="shared" si="10"/>
        <v>56786410</v>
      </c>
      <c r="F26" s="5" t="str">
        <f t="shared" si="11"/>
        <v/>
      </c>
      <c r="G26" s="5" t="str">
        <f t="shared" si="12"/>
        <v/>
      </c>
      <c r="H26" s="5" t="str">
        <f t="shared" si="13"/>
        <v/>
      </c>
      <c r="I26" s="5" t="str">
        <f t="shared" si="14"/>
        <v/>
      </c>
      <c r="J26" s="5" t="str">
        <f t="shared" si="15"/>
        <v/>
      </c>
      <c r="K26" s="5" t="str">
        <f t="shared" si="16"/>
        <v/>
      </c>
      <c r="L26" s="5" t="str">
        <f t="shared" si="17"/>
        <v/>
      </c>
    </row>
    <row r="27" spans="2:12" x14ac:dyDescent="0.35">
      <c r="B27" s="4">
        <v>2006</v>
      </c>
      <c r="C27" s="5">
        <f t="shared" si="18"/>
        <v>46582684</v>
      </c>
      <c r="D27" s="5">
        <f t="shared" si="9"/>
        <v>54641339</v>
      </c>
      <c r="E27" s="5" t="str">
        <f t="shared" si="10"/>
        <v/>
      </c>
      <c r="F27" s="5" t="str">
        <f t="shared" si="11"/>
        <v/>
      </c>
      <c r="G27" s="5" t="str">
        <f t="shared" si="12"/>
        <v/>
      </c>
      <c r="H27" s="5" t="str">
        <f t="shared" si="13"/>
        <v/>
      </c>
      <c r="I27" s="5" t="str">
        <f t="shared" si="14"/>
        <v/>
      </c>
      <c r="J27" s="5" t="str">
        <f t="shared" si="15"/>
        <v/>
      </c>
      <c r="K27" s="5" t="str">
        <f t="shared" si="16"/>
        <v/>
      </c>
      <c r="L27" s="5" t="str">
        <f t="shared" si="17"/>
        <v/>
      </c>
    </row>
    <row r="28" spans="2:12" ht="15" thickBot="1" x14ac:dyDescent="0.4">
      <c r="B28" s="7">
        <v>2007</v>
      </c>
      <c r="C28" s="5">
        <f t="shared" si="18"/>
        <v>48853563</v>
      </c>
      <c r="D28" s="5" t="str">
        <f t="shared" si="9"/>
        <v/>
      </c>
      <c r="E28" s="5" t="str">
        <f t="shared" si="10"/>
        <v/>
      </c>
      <c r="F28" s="5" t="str">
        <f t="shared" si="11"/>
        <v/>
      </c>
      <c r="G28" s="5" t="str">
        <f t="shared" si="12"/>
        <v/>
      </c>
      <c r="H28" s="5" t="str">
        <f t="shared" si="13"/>
        <v/>
      </c>
      <c r="I28" s="5" t="str">
        <f t="shared" si="14"/>
        <v/>
      </c>
      <c r="J28" s="5" t="str">
        <f t="shared" si="15"/>
        <v/>
      </c>
      <c r="K28" s="5" t="str">
        <f t="shared" si="16"/>
        <v/>
      </c>
      <c r="L28" s="5" t="str">
        <f t="shared" si="17"/>
        <v/>
      </c>
    </row>
    <row r="30" spans="2:12" x14ac:dyDescent="0.35">
      <c r="B30" t="s">
        <v>6</v>
      </c>
    </row>
    <row r="32" spans="2:12" ht="15" thickBot="1" x14ac:dyDescent="0.4">
      <c r="B32" t="s">
        <v>16</v>
      </c>
      <c r="K32" s="10"/>
    </row>
    <row r="33" spans="2:12" x14ac:dyDescent="0.35">
      <c r="B33" s="1" t="s">
        <v>2</v>
      </c>
      <c r="C33" s="2" t="s">
        <v>7</v>
      </c>
      <c r="D33" s="2" t="s">
        <v>8</v>
      </c>
      <c r="E33" s="2" t="s">
        <v>9</v>
      </c>
      <c r="F33" s="2" t="s">
        <v>10</v>
      </c>
      <c r="G33" s="2" t="s">
        <v>11</v>
      </c>
      <c r="H33" s="2" t="s">
        <v>12</v>
      </c>
      <c r="I33" s="2" t="s">
        <v>13</v>
      </c>
      <c r="J33" s="2" t="s">
        <v>14</v>
      </c>
      <c r="K33" s="9" t="s">
        <v>15</v>
      </c>
    </row>
    <row r="34" spans="2:12" x14ac:dyDescent="0.35">
      <c r="B34" s="4">
        <v>1998</v>
      </c>
      <c r="C34" s="31">
        <f>IF(D19="","",D19/C19)</f>
        <v>1.1661788116519092</v>
      </c>
      <c r="D34" s="31">
        <f t="shared" ref="D34:K34" si="19">IF(E19="","",E19/D19)</f>
        <v>1.0555933540193152</v>
      </c>
      <c r="E34" s="31">
        <f t="shared" si="19"/>
        <v>1.026676933020948</v>
      </c>
      <c r="F34" s="31">
        <f t="shared" si="19"/>
        <v>1.0118150095593508</v>
      </c>
      <c r="G34" s="31">
        <f t="shared" si="19"/>
        <v>1.0041393557615579</v>
      </c>
      <c r="H34" s="31">
        <f t="shared" si="19"/>
        <v>1.0021280886580817</v>
      </c>
      <c r="I34" s="31">
        <f t="shared" si="19"/>
        <v>1.0011595816881906</v>
      </c>
      <c r="J34" s="31">
        <f t="shared" si="19"/>
        <v>1.0007343940735156</v>
      </c>
      <c r="K34" s="31">
        <f t="shared" si="19"/>
        <v>1.000369326745379</v>
      </c>
    </row>
    <row r="35" spans="2:12" x14ac:dyDescent="0.35">
      <c r="B35" s="4">
        <v>1999</v>
      </c>
      <c r="C35" s="31">
        <f t="shared" ref="C35:K43" si="20">IF(D20="","",D20/C20)</f>
        <v>1.1820389662971791</v>
      </c>
      <c r="D35" s="31">
        <f t="shared" si="20"/>
        <v>1.0616171518923867</v>
      </c>
      <c r="E35" s="31">
        <f t="shared" si="20"/>
        <v>1.0273459091767914</v>
      </c>
      <c r="F35" s="31">
        <f t="shared" si="20"/>
        <v>1.0101478161784887</v>
      </c>
      <c r="G35" s="31">
        <f t="shared" si="20"/>
        <v>1.003892957938384</v>
      </c>
      <c r="H35" s="31">
        <f t="shared" si="20"/>
        <v>1.0027982527620685</v>
      </c>
      <c r="I35" s="31">
        <f t="shared" si="20"/>
        <v>1.0018456299123828</v>
      </c>
      <c r="J35" s="31">
        <f t="shared" si="20"/>
        <v>1.0004344304557504</v>
      </c>
      <c r="K35" s="31" t="str">
        <f t="shared" si="20"/>
        <v/>
      </c>
    </row>
    <row r="36" spans="2:12" x14ac:dyDescent="0.35">
      <c r="B36" s="4">
        <v>2000</v>
      </c>
      <c r="C36" s="31">
        <f t="shared" si="20"/>
        <v>1.1996245192898318</v>
      </c>
      <c r="D36" s="31">
        <f t="shared" si="20"/>
        <v>1.0605004776239431</v>
      </c>
      <c r="E36" s="31">
        <f t="shared" si="20"/>
        <v>1.0271559852124039</v>
      </c>
      <c r="F36" s="31">
        <f t="shared" si="20"/>
        <v>1.0097203583124696</v>
      </c>
      <c r="G36" s="31">
        <f t="shared" si="20"/>
        <v>1.0051537402496793</v>
      </c>
      <c r="H36" s="31">
        <f t="shared" si="20"/>
        <v>1.0029173578928952</v>
      </c>
      <c r="I36" s="31">
        <f t="shared" si="20"/>
        <v>1.0017489436118263</v>
      </c>
      <c r="J36" s="31" t="str">
        <f t="shared" si="20"/>
        <v/>
      </c>
      <c r="K36" s="31" t="str">
        <f t="shared" si="20"/>
        <v/>
      </c>
    </row>
    <row r="37" spans="2:12" x14ac:dyDescent="0.35">
      <c r="B37" s="4">
        <v>2001</v>
      </c>
      <c r="C37" s="31">
        <f t="shared" si="20"/>
        <v>1.193188415105896</v>
      </c>
      <c r="D37" s="31">
        <f t="shared" si="20"/>
        <v>1.061683083415599</v>
      </c>
      <c r="E37" s="31">
        <f t="shared" si="20"/>
        <v>1.0269219058378496</v>
      </c>
      <c r="F37" s="31">
        <f t="shared" si="20"/>
        <v>1.0135170155030313</v>
      </c>
      <c r="G37" s="31">
        <f t="shared" si="20"/>
        <v>1.0046719970699654</v>
      </c>
      <c r="H37" s="31">
        <f t="shared" si="20"/>
        <v>1.0025435064974495</v>
      </c>
      <c r="I37" s="31" t="str">
        <f t="shared" si="20"/>
        <v/>
      </c>
      <c r="J37" s="31" t="str">
        <f t="shared" si="20"/>
        <v/>
      </c>
      <c r="K37" s="31" t="str">
        <f t="shared" si="20"/>
        <v/>
      </c>
      <c r="L37" s="8"/>
    </row>
    <row r="38" spans="2:12" x14ac:dyDescent="0.35">
      <c r="B38" s="4">
        <v>2002</v>
      </c>
      <c r="C38" s="31">
        <f t="shared" si="20"/>
        <v>1.1835851946999818</v>
      </c>
      <c r="D38" s="31">
        <f t="shared" si="20"/>
        <v>1.0591008475987804</v>
      </c>
      <c r="E38" s="31">
        <f t="shared" si="20"/>
        <v>1.0285467557914547</v>
      </c>
      <c r="F38" s="31">
        <f t="shared" si="20"/>
        <v>1.0114327378254182</v>
      </c>
      <c r="G38" s="31">
        <f t="shared" si="20"/>
        <v>1.0039262167060257</v>
      </c>
      <c r="H38" s="31" t="str">
        <f t="shared" si="20"/>
        <v/>
      </c>
      <c r="I38" s="31" t="str">
        <f t="shared" si="20"/>
        <v/>
      </c>
      <c r="J38" s="31" t="str">
        <f t="shared" si="20"/>
        <v/>
      </c>
      <c r="K38" s="31" t="str">
        <f t="shared" si="20"/>
        <v/>
      </c>
      <c r="L38" s="8"/>
    </row>
    <row r="39" spans="2:12" x14ac:dyDescent="0.35">
      <c r="B39" s="4">
        <v>2003</v>
      </c>
      <c r="C39" s="31">
        <f t="shared" si="20"/>
        <v>1.1624031272254063</v>
      </c>
      <c r="D39" s="31">
        <f t="shared" si="20"/>
        <v>1.056589493363056</v>
      </c>
      <c r="E39" s="31">
        <f t="shared" si="20"/>
        <v>1.027887153569236</v>
      </c>
      <c r="F39" s="31">
        <f t="shared" si="20"/>
        <v>1.0096453395731901</v>
      </c>
      <c r="G39" s="31" t="str">
        <f t="shared" si="20"/>
        <v/>
      </c>
      <c r="H39" s="31" t="str">
        <f t="shared" si="20"/>
        <v/>
      </c>
      <c r="I39" s="31" t="str">
        <f t="shared" si="20"/>
        <v/>
      </c>
      <c r="J39" s="31" t="str">
        <f t="shared" si="20"/>
        <v/>
      </c>
      <c r="K39" s="31" t="str">
        <f t="shared" si="20"/>
        <v/>
      </c>
      <c r="L39" s="8"/>
    </row>
    <row r="40" spans="2:12" x14ac:dyDescent="0.35">
      <c r="B40" s="4">
        <v>2004</v>
      </c>
      <c r="C40" s="31">
        <f t="shared" si="20"/>
        <v>1.1590365690754598</v>
      </c>
      <c r="D40" s="31">
        <f t="shared" si="20"/>
        <v>1.0553444752864545</v>
      </c>
      <c r="E40" s="31">
        <f t="shared" si="20"/>
        <v>1.0256145799756571</v>
      </c>
      <c r="F40" s="31" t="str">
        <f t="shared" si="20"/>
        <v/>
      </c>
      <c r="G40" s="31" t="str">
        <f t="shared" si="20"/>
        <v/>
      </c>
      <c r="H40" s="31" t="str">
        <f t="shared" si="20"/>
        <v/>
      </c>
      <c r="I40" s="31" t="str">
        <f t="shared" si="20"/>
        <v/>
      </c>
      <c r="J40" s="31" t="str">
        <f t="shared" si="20"/>
        <v/>
      </c>
      <c r="K40" s="31" t="str">
        <f t="shared" si="20"/>
        <v/>
      </c>
      <c r="L40" s="8"/>
    </row>
    <row r="41" spans="2:12" x14ac:dyDescent="0.35">
      <c r="B41" s="4">
        <v>2005</v>
      </c>
      <c r="C41" s="31">
        <f t="shared" si="20"/>
        <v>1.1602470393727953</v>
      </c>
      <c r="D41" s="31">
        <f t="shared" si="20"/>
        <v>1.055704510169639</v>
      </c>
      <c r="E41" s="31" t="str">
        <f t="shared" si="20"/>
        <v/>
      </c>
      <c r="F41" s="31" t="str">
        <f t="shared" si="20"/>
        <v/>
      </c>
      <c r="G41" s="31" t="str">
        <f t="shared" si="20"/>
        <v/>
      </c>
      <c r="H41" s="31" t="str">
        <f t="shared" si="20"/>
        <v/>
      </c>
      <c r="I41" s="31" t="str">
        <f t="shared" si="20"/>
        <v/>
      </c>
      <c r="J41" s="31" t="str">
        <f t="shared" si="20"/>
        <v/>
      </c>
      <c r="K41" s="31" t="str">
        <f t="shared" si="20"/>
        <v/>
      </c>
      <c r="L41" s="8"/>
    </row>
    <row r="42" spans="2:12" x14ac:dyDescent="0.35">
      <c r="B42" s="4">
        <v>2006</v>
      </c>
      <c r="C42" s="31">
        <f t="shared" si="20"/>
        <v>1.172996794259429</v>
      </c>
      <c r="D42" s="31" t="str">
        <f t="shared" si="20"/>
        <v/>
      </c>
      <c r="E42" s="31" t="str">
        <f t="shared" si="20"/>
        <v/>
      </c>
      <c r="F42" s="31" t="str">
        <f t="shared" si="20"/>
        <v/>
      </c>
      <c r="G42" s="31" t="str">
        <f t="shared" si="20"/>
        <v/>
      </c>
      <c r="H42" s="31" t="str">
        <f t="shared" si="20"/>
        <v/>
      </c>
      <c r="I42" s="31" t="str">
        <f t="shared" si="20"/>
        <v/>
      </c>
      <c r="J42" s="31" t="str">
        <f t="shared" si="20"/>
        <v/>
      </c>
      <c r="K42" s="31" t="str">
        <f t="shared" si="20"/>
        <v/>
      </c>
      <c r="L42" s="8"/>
    </row>
    <row r="43" spans="2:12" ht="15" thickBot="1" x14ac:dyDescent="0.4">
      <c r="B43" s="7">
        <v>2007</v>
      </c>
      <c r="C43" s="31" t="str">
        <f t="shared" si="20"/>
        <v/>
      </c>
      <c r="D43" s="31" t="str">
        <f t="shared" si="20"/>
        <v/>
      </c>
      <c r="E43" s="31" t="str">
        <f t="shared" si="20"/>
        <v/>
      </c>
      <c r="F43" s="31" t="str">
        <f t="shared" si="20"/>
        <v/>
      </c>
      <c r="G43" s="31" t="str">
        <f t="shared" si="20"/>
        <v/>
      </c>
      <c r="H43" s="31" t="str">
        <f t="shared" si="20"/>
        <v/>
      </c>
      <c r="I43" s="31" t="str">
        <f t="shared" si="20"/>
        <v/>
      </c>
      <c r="J43" s="31" t="str">
        <f t="shared" si="20"/>
        <v/>
      </c>
      <c r="K43" s="31" t="str">
        <f t="shared" si="20"/>
        <v/>
      </c>
      <c r="L43" s="8"/>
    </row>
    <row r="45" spans="2:12" x14ac:dyDescent="0.35">
      <c r="B45" t="s">
        <v>17</v>
      </c>
    </row>
    <row r="47" spans="2:12" ht="15" thickBot="1" x14ac:dyDescent="0.4">
      <c r="B47" t="s">
        <v>20</v>
      </c>
      <c r="K47" s="10"/>
    </row>
    <row r="48" spans="2:12" x14ac:dyDescent="0.35">
      <c r="B48" s="14" t="s">
        <v>2</v>
      </c>
      <c r="C48" s="12" t="s">
        <v>7</v>
      </c>
      <c r="D48" s="12" t="s">
        <v>8</v>
      </c>
      <c r="E48" s="12" t="s">
        <v>9</v>
      </c>
      <c r="F48" s="12" t="s">
        <v>10</v>
      </c>
      <c r="G48" s="12" t="s">
        <v>11</v>
      </c>
      <c r="H48" s="12" t="s">
        <v>12</v>
      </c>
      <c r="I48" s="12" t="s">
        <v>13</v>
      </c>
      <c r="J48" s="12" t="s">
        <v>14</v>
      </c>
      <c r="K48" s="12" t="s">
        <v>15</v>
      </c>
    </row>
    <row r="49" spans="2:11" x14ac:dyDescent="0.35">
      <c r="B49" s="16" t="s">
        <v>24</v>
      </c>
      <c r="C49" s="13"/>
      <c r="D49" s="13"/>
      <c r="E49" s="13"/>
      <c r="F49" s="13"/>
      <c r="G49" s="13"/>
      <c r="H49" s="13"/>
      <c r="I49" s="13"/>
      <c r="J49" s="13"/>
      <c r="K49" s="13"/>
    </row>
    <row r="50" spans="2:11" x14ac:dyDescent="0.35">
      <c r="B50" s="15" t="s">
        <v>19</v>
      </c>
      <c r="C50" s="32" cm="1">
        <f t="array" ref="C50">IF(COUNT(C34:C43)&lt;=5,
AVERAGE(C34:C43),
AVERAGE(_xlfn.TAKE(_xlfn._xlws.FILTER(C34:C43,C34:C43&lt;&gt;""),-5))
)</f>
        <v>1.1676537449266147</v>
      </c>
      <c r="D50" s="32" cm="1">
        <f t="array" ref="D50">IF(COUNT(D34:D43)&lt;=5,
AVERAGE(D34:D43),
AVERAGE(_xlfn.TAKE(_xlfn._xlws.FILTER(D34:D43,D34:D43&lt;&gt;""),-5))
)</f>
        <v>1.0576844819667059</v>
      </c>
      <c r="E50" s="32" cm="1">
        <f t="array" ref="E50">IF(COUNT(E34:E43)&lt;=5,
AVERAGE(E34:E43),
AVERAGE(_xlfn.TAKE(_xlfn._xlws.FILTER(E34:E43,E34:E43&lt;&gt;""),-5))
)</f>
        <v>1.0272252760773202</v>
      </c>
      <c r="F50" s="32" cm="1">
        <f t="array" ref="F50">IF(COUNT(F34:F43)&lt;=5,
AVERAGE(F34:F43),
AVERAGE(_xlfn.TAKE(_xlfn._xlws.FILTER(F34:F43,F34:F43&lt;&gt;""),-5))
)</f>
        <v>1.0108926534785194</v>
      </c>
      <c r="G50" s="32" cm="1">
        <f t="array" ref="G50">IF(COUNT(G34:G43)&lt;=5,
AVERAGE(G34:G43),
AVERAGE(_xlfn.TAKE(_xlfn._xlws.FILTER(G34:G43,G34:G43&lt;&gt;""),-5))
)</f>
        <v>1.0043568535451224</v>
      </c>
      <c r="H50" s="32" cm="1">
        <f t="array" ref="H50">IF(COUNT(H34:H43)&lt;=5,
AVERAGE(H34:H43),
AVERAGE(_xlfn.TAKE(_xlfn._xlws.FILTER(H34:H43,H34:H43&lt;&gt;""),-5))
)</f>
        <v>1.0025968014526236</v>
      </c>
      <c r="I50" s="32" cm="1">
        <f t="array" ref="I50">IF(COUNT(I34:I43)&lt;=5,
AVERAGE(I34:I43),
AVERAGE(_xlfn.TAKE(_xlfn._xlws.FILTER(I34:I43,I34:I43&lt;&gt;""),-5))
)</f>
        <v>1.0015847184041331</v>
      </c>
      <c r="J50" s="32" cm="1">
        <f t="array" ref="J50">IF(COUNT(J34:J43)&lt;=5,
AVERAGE(J34:J43),
AVERAGE(_xlfn.TAKE(_xlfn._xlws.FILTER(J34:J43,J34:J43&lt;&gt;""),-5))
)</f>
        <v>1.000584412264633</v>
      </c>
      <c r="K50" s="32" cm="1">
        <f t="array" ref="K50">IF(COUNT(K34:K43)&lt;=5,
AVERAGE(K34:K43),
AVERAGE(_xlfn.TAKE(_xlfn._xlws.FILTER(K34:K43,K34:K43&lt;&gt;""),-5))
)</f>
        <v>1.000369326745379</v>
      </c>
    </row>
    <row r="51" spans="2:11" x14ac:dyDescent="0.35">
      <c r="B51" s="11" t="s">
        <v>21</v>
      </c>
      <c r="C51" s="33" cm="1">
        <f t="array" ref="C51">IF(COUNT(C34:C43)&lt;=4,
AVERAGE(C34:C43),
AVERAGE(_xlfn.TAKE(_xlfn._xlws.FILTER(C34:C43,C34:C43&lt;&gt;""),-4))
)</f>
        <v>1.1636708824832727</v>
      </c>
      <c r="D51" s="33" cm="1">
        <f t="array" ref="D51">IF(COUNT(D34:D43)&lt;=4,
AVERAGE(D34:D43),
AVERAGE(_xlfn.TAKE(_xlfn._xlws.FILTER(D34:D43,D34:D43&lt;&gt;""),-4))
)</f>
        <v>1.0566848316044823</v>
      </c>
      <c r="E51" s="33" cm="1">
        <f t="array" ref="E51">IF(COUNT(E34:E43)&lt;=4,
AVERAGE(E34:E43),
AVERAGE(_xlfn.TAKE(_xlfn._xlws.FILTER(E34:E43,E34:E43&lt;&gt;""),-4))
)</f>
        <v>1.0272425987935494</v>
      </c>
      <c r="F51" s="33" cm="1">
        <f t="array" ref="F51">IF(COUNT(F34:F43)&lt;=4,
AVERAGE(F34:F43),
AVERAGE(_xlfn.TAKE(_xlfn._xlws.FILTER(F34:F43,F34:F43&lt;&gt;""),-4))
)</f>
        <v>1.0110788628035274</v>
      </c>
      <c r="G51" s="33" cm="1">
        <f t="array" ref="G51">IF(COUNT(G34:G43)&lt;=4,
AVERAGE(G34:G43),
AVERAGE(_xlfn.TAKE(_xlfn._xlws.FILTER(G34:G43,G34:G43&lt;&gt;""),-4))
)</f>
        <v>1.0044112279910136</v>
      </c>
      <c r="H51" s="33" cm="1">
        <f t="array" ref="H51">IF(COUNT(H34:H43)&lt;=4,
AVERAGE(H34:H43),
AVERAGE(_xlfn.TAKE(_xlfn._xlws.FILTER(H34:H43,H34:H43&lt;&gt;""),-4))
)</f>
        <v>1.0025968014526236</v>
      </c>
      <c r="I51" s="33" cm="1">
        <f t="array" ref="I51">IF(COUNT(I34:I43)&lt;=4,
AVERAGE(I34:I43),
AVERAGE(_xlfn.TAKE(_xlfn._xlws.FILTER(I34:I43,I34:I43&lt;&gt;""),-4))
)</f>
        <v>1.0015847184041331</v>
      </c>
      <c r="J51" s="33" cm="1">
        <f t="array" ref="J51">IF(COUNT(J34:J43)&lt;=4,
AVERAGE(J34:J43),
AVERAGE(_xlfn.TAKE(_xlfn._xlws.FILTER(J34:J43,J34:J43&lt;&gt;""),-4))
)</f>
        <v>1.000584412264633</v>
      </c>
      <c r="K51" s="33" cm="1">
        <f t="array" ref="K51">IF(COUNT(K34:K43)&lt;=4,
AVERAGE(K34:K43),
AVERAGE(_xlfn.TAKE(_xlfn._xlws.FILTER(K34:K43,K34:K43&lt;&gt;""),-4))
)</f>
        <v>1.000369326745379</v>
      </c>
    </row>
    <row r="52" spans="2:11" x14ac:dyDescent="0.35">
      <c r="B52" s="11" t="s">
        <v>22</v>
      </c>
      <c r="C52" s="33" cm="1">
        <f t="array" ref="C52">IF(COUNT(C34:C43)&lt;=3,
AVERAGE(C34:C43),
AVERAGE(_xlfn.TAKE(_xlfn._xlws.FILTER(C34:C43,C34:C43&lt;&gt;""),-3))
)</f>
        <v>1.164093467569228</v>
      </c>
      <c r="D52" s="33" cm="1">
        <f t="array" ref="D52">IF(COUNT(D34:D43)&lt;=3,
AVERAGE(D34:D43),
AVERAGE(_xlfn.TAKE(_xlfn._xlws.FILTER(D34:D43,D34:D43&lt;&gt;""),-3))
)</f>
        <v>1.0558794929397164</v>
      </c>
      <c r="E52" s="33" cm="1">
        <f t="array" ref="E52">IF(COUNT(E34:E43)&lt;=3,
AVERAGE(E34:E43),
AVERAGE(_xlfn.TAKE(_xlfn._xlws.FILTER(E34:E43,E34:E43&lt;&gt;""),-3))
)</f>
        <v>1.0273494964454493</v>
      </c>
      <c r="F52" s="33" cm="1">
        <f t="array" ref="F52">IF(COUNT(F34:F43)&lt;=3,
AVERAGE(F34:F43),
AVERAGE(_xlfn.TAKE(_xlfn._xlws.FILTER(F34:F43,F34:F43&lt;&gt;""),-3))
)</f>
        <v>1.01153169763388</v>
      </c>
      <c r="G52" s="33" cm="1">
        <f t="array" ref="G52">IF(COUNT(G34:G43)&lt;=3,
AVERAGE(G34:G43),
AVERAGE(_xlfn.TAKE(_xlfn._xlws.FILTER(G34:G43,G34:G43&lt;&gt;""),-3))
)</f>
        <v>1.0045839846752234</v>
      </c>
      <c r="H52" s="33" cm="1">
        <f t="array" ref="H52">IF(COUNT(H34:H43)&lt;=3,
AVERAGE(H34:H43),
AVERAGE(_xlfn.TAKE(_xlfn._xlws.FILTER(H34:H43,H34:H43&lt;&gt;""),-3))
)</f>
        <v>1.0027530390508044</v>
      </c>
      <c r="I52" s="33" cm="1">
        <f t="array" ref="I52">IF(COUNT(I34:I43)&lt;=3,
AVERAGE(I34:I43),
AVERAGE(_xlfn.TAKE(_xlfn._xlws.FILTER(I34:I43,I34:I43&lt;&gt;""),-3))
)</f>
        <v>1.0015847184041331</v>
      </c>
      <c r="J52" s="33" cm="1">
        <f t="array" ref="J52">IF(COUNT(J34:J43)&lt;=3,
AVERAGE(J34:J43),
AVERAGE(_xlfn.TAKE(_xlfn._xlws.FILTER(J34:J43,J34:J43&lt;&gt;""),-3))
)</f>
        <v>1.000584412264633</v>
      </c>
      <c r="K52" s="33" cm="1">
        <f t="array" ref="K52">IF(COUNT(K34:K43)&lt;=3,
AVERAGE(K34:K43),
AVERAGE(_xlfn.TAKE(_xlfn._xlws.FILTER(K34:K43,K34:K43&lt;&gt;""),-3))
)</f>
        <v>1.000369326745379</v>
      </c>
    </row>
    <row r="53" spans="2:11" x14ac:dyDescent="0.35">
      <c r="B53" s="17" t="s">
        <v>23</v>
      </c>
      <c r="C53" s="34" cm="1">
        <f t="array" ref="C53">IF(COUNT(C34:C43)&lt;=2,
AVERAGE(C34:C43),
AVERAGE(_xlfn.TAKE(_xlfn._xlws.FILTER(C34:C43,C34:C43&lt;&gt;""),-2))
)</f>
        <v>1.166621916816112</v>
      </c>
      <c r="D53" s="34" cm="1">
        <f t="array" ref="D53">IF(COUNT(D34:D43)&lt;=2,
AVERAGE(D34:D43),
AVERAGE(_xlfn.TAKE(_xlfn._xlws.FILTER(D34:D43,D34:D43&lt;&gt;""),-2))
)</f>
        <v>1.0555244927280467</v>
      </c>
      <c r="E53" s="34" cm="1">
        <f t="array" ref="E53">IF(COUNT(E34:E43)&lt;=2,
AVERAGE(E34:E43),
AVERAGE(_xlfn.TAKE(_xlfn._xlws.FILTER(E34:E43,E34:E43&lt;&gt;""),-2))
)</f>
        <v>1.0267508667724465</v>
      </c>
      <c r="F53" s="34" cm="1">
        <f t="array" ref="F53">IF(COUNT(F34:F43)&lt;=2,
AVERAGE(F34:F43),
AVERAGE(_xlfn.TAKE(_xlfn._xlws.FILTER(F34:F43,F34:F43&lt;&gt;""),-2))
)</f>
        <v>1.0105390386993043</v>
      </c>
      <c r="G53" s="34" cm="1">
        <f t="array" ref="G53">IF(COUNT(G34:G43)&lt;=2,
AVERAGE(G34:G43),
AVERAGE(_xlfn.TAKE(_xlfn._xlws.FILTER(G34:G43,G34:G43&lt;&gt;""),-2))
)</f>
        <v>1.0042991068879954</v>
      </c>
      <c r="H53" s="34" cm="1">
        <f t="array" ref="H53">IF(COUNT(H34:H43)&lt;=2,
AVERAGE(H34:H43),
AVERAGE(_xlfn.TAKE(_xlfn._xlws.FILTER(H34:H43,H34:H43&lt;&gt;""),-2))
)</f>
        <v>1.0027304321951722</v>
      </c>
      <c r="I53" s="34" cm="1">
        <f t="array" ref="I53">IF(COUNT(I34:I43)&lt;=2,
AVERAGE(I34:I43),
AVERAGE(_xlfn.TAKE(_xlfn._xlws.FILTER(I34:I43,I34:I43&lt;&gt;""),-2))
)</f>
        <v>1.0017972867621046</v>
      </c>
      <c r="J53" s="34" cm="1">
        <f t="array" ref="J53">IF(COUNT(J34:J43)&lt;=2,
AVERAGE(J34:J43),
AVERAGE(_xlfn.TAKE(_xlfn._xlws.FILTER(J34:J43,J34:J43&lt;&gt;""),-2))
)</f>
        <v>1.000584412264633</v>
      </c>
      <c r="K53" s="34" cm="1">
        <f t="array" ref="K53">IF(COUNT(K34:K43)&lt;=2,
AVERAGE(K34:K43),
AVERAGE(_xlfn.TAKE(_xlfn._xlws.FILTER(K34:K43,K34:K43&lt;&gt;""),-2))
)</f>
        <v>1.000369326745379</v>
      </c>
    </row>
    <row r="54" spans="2:11" x14ac:dyDescent="0.35">
      <c r="B54" s="16" t="s">
        <v>25</v>
      </c>
      <c r="C54" s="35"/>
      <c r="D54" s="35"/>
      <c r="E54" s="35"/>
      <c r="F54" s="35"/>
      <c r="G54" s="35"/>
      <c r="H54" s="35"/>
      <c r="I54" s="35"/>
      <c r="J54" s="35"/>
      <c r="K54" s="35"/>
    </row>
    <row r="55" spans="2:11" x14ac:dyDescent="0.35">
      <c r="B55" s="18" t="s">
        <v>26</v>
      </c>
      <c r="C55" s="36">
        <f>(1.16+1.16+1.16)/3</f>
        <v>1.1599999999999999</v>
      </c>
      <c r="D55" s="36" cm="1">
        <f t="array" ref="D55">_xlfn.LET(
_xlpm.x, _xlfn._xlws.FILTER(D34:D43, D34:D43&lt;&gt;""),
_xlpm.n, ROWS(_xlpm.x),
IF(_xlpm.n&lt;=2,
    AVERAGE(_xlpm.x),
    AVERAGE(INDEX(_xlfn._xlws.SORT(_xlpm.x), _xlfn.SEQUENCE(_xlpm.n-2,1,2)))
)
)</f>
        <v>1.0581843057778535</v>
      </c>
      <c r="E55" s="36" cm="1">
        <f t="array" ref="E55">_xlfn.LET(
_xlpm.x, _xlfn._xlws.FILTER(E34:E43, E34:E43&lt;&gt;""),
_xlpm.n, ROWS(_xlpm.x),
IF(_xlpm.n&lt;=2,
    AVERAGE(_xlpm.x),
    AVERAGE(INDEX(_xlfn._xlws.SORT(_xlpm.x), _xlfn.SEQUENCE(_xlpm.n-2,1,2)))
)
)</f>
        <v>1.0271975773634456</v>
      </c>
      <c r="F55" s="36" cm="1">
        <f t="array" ref="F55">_xlfn.LET(
_xlpm.x, _xlfn._xlws.FILTER(F34:F43, F34:F43&lt;&gt;""),
_xlpm.n, ROWS(_xlpm.x),
IF(_xlpm.n&lt;=2,
    AVERAGE(_xlpm.x),
    AVERAGE(INDEX(_xlfn._xlws.SORT(_xlpm.x), _xlfn.SEQUENCE(_xlpm.n-2,1,2)))
)
)</f>
        <v>1.0107789804689318</v>
      </c>
      <c r="G55" s="36" cm="1">
        <f t="array" ref="G55">_xlfn.LET(
_xlpm.x, _xlfn._xlws.FILTER(G34:G43, G34:G43&lt;&gt;""),
_xlpm.n, ROWS(_xlpm.x),
IF(_xlpm.n&lt;=2,
    AVERAGE(_xlpm.x),
    AVERAGE(INDEX(_xlfn._xlws.SORT(_xlpm.x), _xlfn.SEQUENCE(_xlpm.n-2,1,2)))
)
)</f>
        <v>1.0042458565125163</v>
      </c>
      <c r="H55" s="36" cm="1">
        <f t="array" ref="H55">_xlfn.LET(
_xlpm.x, _xlfn._xlws.FILTER(H34:H43, H34:H43&lt;&gt;""),
_xlpm.n, ROWS(_xlpm.x),
IF(_xlpm.n&lt;=2,
    AVERAGE(_xlpm.x),
    AVERAGE(INDEX(_xlfn._xlws.SORT(_xlpm.x), _xlfn.SEQUENCE(_xlpm.n-2,1,2)))
)
)</f>
        <v>1.002670879629759</v>
      </c>
      <c r="I55" s="36" cm="1">
        <f t="array" ref="I55">_xlfn.LET(
_xlpm.x, _xlfn._xlws.FILTER(I34:I43, I34:I43&lt;&gt;""),
_xlpm.n, ROWS(_xlpm.x),
IF(_xlpm.n&lt;=2,
    AVERAGE(_xlpm.x),
    AVERAGE(INDEX(_xlfn._xlws.SORT(_xlpm.x), _xlfn.SEQUENCE(_xlpm.n-2,1,2)))
)
)</f>
        <v>1.0017489436118263</v>
      </c>
      <c r="J55" s="36" cm="1">
        <f t="array" ref="J55">_xlfn.LET(
_xlpm.x, _xlfn._xlws.FILTER(J34:J43, J34:J43&lt;&gt;""),
_xlpm.n, ROWS(_xlpm.x),
IF(_xlpm.n&lt;=2,
    AVERAGE(_xlpm.x),
    AVERAGE(INDEX(_xlfn._xlws.SORT(_xlpm.x), _xlfn.SEQUENCE(_xlpm.n-2,1,2)))
)
)</f>
        <v>1.000584412264633</v>
      </c>
      <c r="K55" s="36" cm="1">
        <f t="array" ref="K55">_xlfn.LET(
_xlpm.x, _xlfn._xlws.FILTER(K34:K43, K34:K43&lt;&gt;""),
_xlpm.n, ROWS(_xlpm.x),
IF(_xlpm.n&lt;=2,
    AVERAGE(_xlpm.x),
    AVERAGE(INDEX(_xlfn._xlws.SORT(_xlpm.x), _xlfn.SEQUENCE(_xlpm.n-2,1,2)))
)
)</f>
        <v>1.000369326745379</v>
      </c>
    </row>
    <row r="56" spans="2:11" x14ac:dyDescent="0.35">
      <c r="B56" s="16" t="s">
        <v>18</v>
      </c>
      <c r="C56" s="35"/>
      <c r="D56" s="35"/>
      <c r="E56" s="35"/>
      <c r="F56" s="35"/>
      <c r="G56" s="35"/>
      <c r="H56" s="35"/>
      <c r="I56" s="35"/>
      <c r="J56" s="35"/>
      <c r="K56" s="35"/>
    </row>
    <row r="57" spans="2:11" x14ac:dyDescent="0.35">
      <c r="B57" s="15" t="s">
        <v>19</v>
      </c>
      <c r="C57" s="37">
        <f>SUM(D19:D23)/SUM(C19:C23)</f>
        <v>1.1853605156906042</v>
      </c>
      <c r="D57" s="37">
        <f t="shared" ref="D57:K57" si="21">SUM(E19:E23)/SUM(D19:D23)</f>
        <v>1.0597788462602682</v>
      </c>
      <c r="E57" s="37">
        <f t="shared" si="21"/>
        <v>1.0273621622785625</v>
      </c>
      <c r="F57" s="37">
        <f t="shared" si="21"/>
        <v>1.0113425078727398</v>
      </c>
      <c r="G57" s="37">
        <f t="shared" si="21"/>
        <v>1.0043640777453322</v>
      </c>
      <c r="H57" s="37">
        <f>SUM(I19:I22)/SUM(H19:H22)</f>
        <v>1.002608674619641</v>
      </c>
      <c r="I57" s="37">
        <f>SUM(J19:J21)/SUM(I19:I21)</f>
        <v>1.0015981659515525</v>
      </c>
      <c r="J57" s="37">
        <f>SUM(K19:K20)/SUM(J19:J20)</f>
        <v>1.000579141625114</v>
      </c>
      <c r="K57" s="37">
        <f>SUM(L19)/SUM(K19)</f>
        <v>1.000369326745379</v>
      </c>
    </row>
    <row r="58" spans="2:11" x14ac:dyDescent="0.35">
      <c r="B58" s="11" t="s">
        <v>21</v>
      </c>
      <c r="C58" s="31">
        <f>SUM(D19:D22)/SUM(C19:C22)</f>
        <v>1.1858585975475606</v>
      </c>
      <c r="D58" s="31">
        <f t="shared" ref="D58:I58" si="22">SUM(E19:E22)/SUM(D19:D22)</f>
        <v>1.0599687000577369</v>
      </c>
      <c r="E58" s="31">
        <f t="shared" si="22"/>
        <v>1.0270307229226159</v>
      </c>
      <c r="F58" s="31">
        <f t="shared" si="22"/>
        <v>1.0113172250209252</v>
      </c>
      <c r="G58" s="31">
        <f t="shared" si="22"/>
        <v>1.0044867824559465</v>
      </c>
      <c r="H58" s="31">
        <f t="shared" si="22"/>
        <v>1.002608674619641</v>
      </c>
      <c r="I58" s="31">
        <f>SUM(J19:J21)/SUM(I19:I21)</f>
        <v>1.0015981659515525</v>
      </c>
      <c r="J58" s="31">
        <f>SUM(K19:K20)/SUM(J19:J20)</f>
        <v>1.000579141625114</v>
      </c>
      <c r="K58" s="31">
        <f>SUM(L19)/SUM(K19)</f>
        <v>1.000369326745379</v>
      </c>
    </row>
    <row r="59" spans="2:11" x14ac:dyDescent="0.35">
      <c r="B59" s="11" t="s">
        <v>22</v>
      </c>
      <c r="C59" s="31">
        <f>SUM(D19:D21)/SUM(C19:C21)</f>
        <v>1.1832055900469083</v>
      </c>
      <c r="D59" s="31">
        <f t="shared" ref="D59:I59" si="23">SUM(E19:E21)/SUM(D19:D21)</f>
        <v>1.059342948311486</v>
      </c>
      <c r="E59" s="31">
        <f t="shared" si="23"/>
        <v>1.0270705290136997</v>
      </c>
      <c r="F59" s="31">
        <f t="shared" si="23"/>
        <v>1.0105126419051205</v>
      </c>
      <c r="G59" s="31">
        <f t="shared" si="23"/>
        <v>1.0044188379820618</v>
      </c>
      <c r="H59" s="31">
        <f t="shared" si="23"/>
        <v>1.0026325870404273</v>
      </c>
      <c r="I59" s="31">
        <f t="shared" si="23"/>
        <v>1.0015981659515525</v>
      </c>
      <c r="J59" s="31">
        <f>SUM(K19:K20)/SUM(J19:J20)</f>
        <v>1.000579141625114</v>
      </c>
      <c r="K59" s="31">
        <f>SUM(L19)/SUM(K19)</f>
        <v>1.000369326745379</v>
      </c>
    </row>
    <row r="60" spans="2:11" x14ac:dyDescent="0.35">
      <c r="B60" s="17" t="s">
        <v>23</v>
      </c>
      <c r="C60" s="34">
        <f t="shared" ref="C60:I60" si="24">SUM(D19:D20)/SUM(C19:C20)</f>
        <v>1.1743110758571738</v>
      </c>
      <c r="D60" s="34">
        <f t="shared" si="24"/>
        <v>1.0587023709661747</v>
      </c>
      <c r="E60" s="34">
        <f t="shared" si="24"/>
        <v>1.0270231571870969</v>
      </c>
      <c r="F60" s="34">
        <f t="shared" si="24"/>
        <v>1.0109518935411372</v>
      </c>
      <c r="G60" s="34">
        <f t="shared" si="24"/>
        <v>1.004011895588111</v>
      </c>
      <c r="H60" s="34">
        <f t="shared" si="24"/>
        <v>1.0024747196179875</v>
      </c>
      <c r="I60" s="34">
        <f t="shared" si="24"/>
        <v>1.0015145429598062</v>
      </c>
      <c r="J60" s="34">
        <f>SUM(K19:K20)/SUM(J19:J20)</f>
        <v>1.000579141625114</v>
      </c>
      <c r="K60" s="34">
        <f>SUM(L19)/SUM(K19)</f>
        <v>1.000369326745379</v>
      </c>
    </row>
    <row r="61" spans="2:11" x14ac:dyDescent="0.35">
      <c r="B61" s="16" t="s">
        <v>27</v>
      </c>
      <c r="C61" s="35"/>
      <c r="D61" s="35"/>
      <c r="E61" s="35"/>
      <c r="F61" s="35"/>
      <c r="G61" s="35"/>
      <c r="H61" s="35"/>
      <c r="I61" s="35"/>
      <c r="J61" s="35"/>
      <c r="K61" s="35"/>
    </row>
    <row r="62" spans="2:11" x14ac:dyDescent="0.35">
      <c r="B62" s="15" t="s">
        <v>19</v>
      </c>
      <c r="C62" s="38" cm="1">
        <f t="array" ref="C62">GEOMEAN(_xlfn.TAKE(_xlfn._xlws.FILTER(C34:C43,C34:C43&lt;&gt;""),-5))</f>
        <v>1.1676162896829139</v>
      </c>
      <c r="D62" s="38" cm="1">
        <f t="array" ref="D62">GEOMEAN(_xlfn.TAKE(_xlfn._xlws.FILTER(D34:D43,D34:D43&lt;&gt;""),-5))</f>
        <v>1.0576817815741704</v>
      </c>
      <c r="E62" s="38" cm="1">
        <f t="array" ref="E62">GEOMEAN(_xlfn.TAKE(_xlfn._xlws.FILTER(E34:E43,E34:E43&lt;&gt;""),-5))</f>
        <v>1.0272248013406442</v>
      </c>
      <c r="F62" s="38" cm="1">
        <f t="array" ref="F62">GEOMEAN(_xlfn.TAKE(_xlfn._xlws.FILTER(F34:F43,F34:F43&lt;&gt;""),-5))</f>
        <v>1.0108915995161194</v>
      </c>
      <c r="G62" s="38" cm="1">
        <f t="array" ref="G62">GEOMEAN(_xlfn.TAKE(_xlfn._xlws.FILTER(G34:G43,G34:G43&lt;&gt;""),-5))</f>
        <v>1.0043567358512999</v>
      </c>
      <c r="H62" s="38" cm="1">
        <f t="array" ref="H62">GEOMEAN(_xlfn.TAKE(_xlfn._xlws.FILTER(H34:H43,H34:H43&lt;&gt;""),-5))</f>
        <v>1.0025967558320472</v>
      </c>
      <c r="I62" s="38" cm="1">
        <f t="array" ref="I62">GEOMEAN(_xlfn.TAKE(_xlfn._xlws.FILTER(I34:I43,I34:I43&lt;&gt;""),-5))</f>
        <v>1.0015846725064765</v>
      </c>
      <c r="J62" s="38" cm="1">
        <f t="array" ref="J62">GEOMEAN(_xlfn.TAKE(_xlfn._xlws.FILTER(J34:J43,J34:J43&lt;&gt;""),-5))</f>
        <v>1.0005844010239306</v>
      </c>
      <c r="K62" s="38" cm="1">
        <f t="array" ref="K62">GEOMEAN(_xlfn.TAKE(_xlfn._xlws.FILTER(K34:K43,K34:K43&lt;&gt;""),-5))</f>
        <v>1.000369326745379</v>
      </c>
    </row>
    <row r="63" spans="2:11" x14ac:dyDescent="0.35">
      <c r="B63" s="11" t="s">
        <v>21</v>
      </c>
      <c r="C63" s="39" cm="1">
        <f t="array" ref="C63">GEOMEAN(_xlfn.TAKE(_xlfn._xlws.FILTER(C34:C43,C34:C43&lt;&gt;""),-4))</f>
        <v>1.1636578420458967</v>
      </c>
      <c r="D63" s="39" cm="1">
        <f t="array" ref="D63">GEOMEAN(_xlfn.TAKE(_xlfn._xlws.FILTER(D34:D43,D34:D43&lt;&gt;""),-4))</f>
        <v>1.056683814622253</v>
      </c>
      <c r="E63" s="39" cm="1">
        <f t="array" ref="E63">GEOMEAN(_xlfn.TAKE(_xlfn._xlws.FILTER(E34:E43,E34:E43&lt;&gt;""),-4))</f>
        <v>1.0272420060930763</v>
      </c>
      <c r="F63" s="39" cm="1">
        <f t="array" ref="F63">GEOMEAN(_xlfn.TAKE(_xlfn._xlws.FILTER(F34:F43,F34:F43&lt;&gt;""),-4))</f>
        <v>1.0110776309060523</v>
      </c>
      <c r="G63" s="39" cm="1">
        <f t="array" ref="G63">GEOMEAN(_xlfn.TAKE(_xlfn._xlws.FILTER(G34:G43,G34:G43&lt;&gt;""),-4))</f>
        <v>1.0044110882263544</v>
      </c>
      <c r="H63" s="39" cm="1">
        <f t="array" ref="H63">GEOMEAN(_xlfn.TAKE(_xlfn._xlws.FILTER(H34:H43,H34:H43&lt;&gt;""),-4))</f>
        <v>1.0025967558320472</v>
      </c>
      <c r="I63" s="39" cm="1">
        <f t="array" ref="I63">GEOMEAN(_xlfn.TAKE(_xlfn._xlws.FILTER(I34:I43,I34:I43&lt;&gt;""),-4))</f>
        <v>1.0015846725064765</v>
      </c>
      <c r="J63" s="39" cm="1">
        <f t="array" ref="J63">GEOMEAN(_xlfn.TAKE(_xlfn._xlws.FILTER(J34:J43,J34:J43&lt;&gt;""),-4))</f>
        <v>1.0005844010239306</v>
      </c>
      <c r="K63" s="39" cm="1">
        <f t="array" ref="K63">GEOMEAN(_xlfn.TAKE(_xlfn._xlws.FILTER(K34:K43,K34:K43&lt;&gt;""),-4))</f>
        <v>1.000369326745379</v>
      </c>
    </row>
    <row r="64" spans="2:11" x14ac:dyDescent="0.35">
      <c r="B64" s="11" t="s">
        <v>22</v>
      </c>
      <c r="C64" s="39" cm="1">
        <f t="array" ref="C64">GEOMEAN(_xlfn.TAKE(_xlfn._xlws.FILTER(C34:C43,C34:C43&lt;&gt;""),-3))</f>
        <v>1.1640763812155446</v>
      </c>
      <c r="D64" s="39" cm="1">
        <f t="array" ref="D64">GEOMEAN(_xlfn.TAKE(_xlfn._xlws.FILTER(D34:D43,D34:D43&lt;&gt;""),-3))</f>
        <v>1.0558793633735328</v>
      </c>
      <c r="E64" s="39" cm="1">
        <f t="array" ref="E64">GEOMEAN(_xlfn.TAKE(_xlfn._xlws.FILTER(E34:E43,E34:E43&lt;&gt;""),-3))</f>
        <v>1.0273487283494962</v>
      </c>
      <c r="F64" s="39" cm="1">
        <f t="array" ref="F64">GEOMEAN(_xlfn.TAKE(_xlfn._xlws.FILTER(F34:F43,F34:F43&lt;&gt;""),-3))</f>
        <v>1.0115304604172151</v>
      </c>
      <c r="G64" s="39" cm="1">
        <f t="array" ref="G64">GEOMEAN(_xlfn.TAKE(_xlfn._xlws.FILTER(G34:G43,G34:G43&lt;&gt;""),-3))</f>
        <v>1.004583857741741</v>
      </c>
      <c r="H64" s="39" cm="1">
        <f t="array" ref="H64">GEOMEAN(_xlfn.TAKE(_xlfn._xlws.FILTER(H34:H43,H34:H43&lt;&gt;""),-3))</f>
        <v>1.002753026925526</v>
      </c>
      <c r="I64" s="39" cm="1">
        <f t="array" ref="I64">GEOMEAN(_xlfn.TAKE(_xlfn._xlws.FILTER(I34:I43,I34:I43&lt;&gt;""),-3))</f>
        <v>1.0015846725064765</v>
      </c>
      <c r="J64" s="39" cm="1">
        <f t="array" ref="J64">GEOMEAN(_xlfn.TAKE(_xlfn._xlws.FILTER(J34:J43,J34:J43&lt;&gt;""),-3))</f>
        <v>1.0005844010239306</v>
      </c>
      <c r="K64" s="39" cm="1">
        <f t="array" ref="K64">GEOMEAN(_xlfn.TAKE(_xlfn._xlws.FILTER(K34:K43,K34:K43&lt;&gt;""),-3))</f>
        <v>1.000369326745379</v>
      </c>
    </row>
    <row r="66" spans="2:12" x14ac:dyDescent="0.35">
      <c r="B66" s="28" t="s">
        <v>28</v>
      </c>
    </row>
    <row r="68" spans="2:12" x14ac:dyDescent="0.35">
      <c r="B68" s="6" t="s">
        <v>2</v>
      </c>
      <c r="C68" s="6" t="s">
        <v>7</v>
      </c>
      <c r="D68" s="6" t="s">
        <v>8</v>
      </c>
      <c r="E68" s="6" t="s">
        <v>9</v>
      </c>
      <c r="F68" s="6" t="s">
        <v>10</v>
      </c>
      <c r="G68" s="6" t="s">
        <v>11</v>
      </c>
      <c r="H68" s="6" t="s">
        <v>12</v>
      </c>
      <c r="I68" s="6" t="s">
        <v>13</v>
      </c>
      <c r="J68" s="6" t="s">
        <v>14</v>
      </c>
      <c r="K68" s="6" t="s">
        <v>15</v>
      </c>
      <c r="L68" s="6" t="s">
        <v>34</v>
      </c>
    </row>
    <row r="69" spans="2:12" x14ac:dyDescent="0.35">
      <c r="B69" s="29" t="s">
        <v>29</v>
      </c>
      <c r="C69" s="6" t="s">
        <v>33</v>
      </c>
      <c r="D69" s="6" t="s">
        <v>33</v>
      </c>
      <c r="E69" s="6" t="s">
        <v>33</v>
      </c>
      <c r="F69" s="6" t="s">
        <v>33</v>
      </c>
      <c r="G69" s="6" t="s">
        <v>33</v>
      </c>
      <c r="H69" s="6" t="s">
        <v>33</v>
      </c>
      <c r="I69" s="6" t="s">
        <v>33</v>
      </c>
      <c r="J69" s="6" t="s">
        <v>33</v>
      </c>
      <c r="K69" s="6" t="s">
        <v>33</v>
      </c>
      <c r="L69" s="6" t="s">
        <v>33</v>
      </c>
    </row>
    <row r="70" spans="2:12" x14ac:dyDescent="0.35">
      <c r="B70" s="29" t="s">
        <v>30</v>
      </c>
      <c r="C70" s="31">
        <v>1.1679999999999999</v>
      </c>
      <c r="D70" s="31">
        <v>1.0569999999999999</v>
      </c>
      <c r="E70" s="31">
        <v>1.0269999999999999</v>
      </c>
      <c r="F70" s="31">
        <v>1.0109999999999999</v>
      </c>
      <c r="G70" s="31">
        <v>1.004</v>
      </c>
      <c r="H70" s="31">
        <v>1.0029999999999999</v>
      </c>
      <c r="I70" s="31">
        <v>1.002</v>
      </c>
      <c r="J70" s="31">
        <v>1.0009999999999999</v>
      </c>
      <c r="K70" s="31">
        <v>1</v>
      </c>
      <c r="L70" s="31">
        <v>1</v>
      </c>
    </row>
    <row r="71" spans="2:12" x14ac:dyDescent="0.35">
      <c r="B71" s="29" t="s">
        <v>31</v>
      </c>
      <c r="C71" s="31">
        <f>PRODUCT(C70:L70)</f>
        <v>1.2947200517458095</v>
      </c>
      <c r="D71" s="31">
        <f>PRODUCT(D70:L70)</f>
        <v>1.1084931949878505</v>
      </c>
      <c r="E71" s="31">
        <f>PRODUCT(E70:L70)</f>
        <v>1.0487163623347688</v>
      </c>
      <c r="F71" s="31">
        <f>PRODUCT(F70:L70)</f>
        <v>1.0211454355742635</v>
      </c>
      <c r="G71" s="31">
        <f>PRODUCT(G70:L70)</f>
        <v>1.0100350500239996</v>
      </c>
      <c r="H71" s="31">
        <f>PRODUCT(H70:L70)</f>
        <v>1.0060110059999998</v>
      </c>
      <c r="I71" s="31">
        <f>PRODUCT(I70:L70)</f>
        <v>1.0030019999999999</v>
      </c>
      <c r="J71" s="31">
        <f>PRODUCT(J70:L70)</f>
        <v>1.0009999999999999</v>
      </c>
      <c r="K71" s="31">
        <f>PRODUCT(K70:L70)</f>
        <v>1</v>
      </c>
      <c r="L71" s="31">
        <f>PRODUCT(L70)</f>
        <v>1</v>
      </c>
    </row>
    <row r="72" spans="2:12" x14ac:dyDescent="0.35">
      <c r="B72" s="29" t="s">
        <v>62</v>
      </c>
      <c r="C72" s="30">
        <f>1/C71</f>
        <v>0.77236773976860329</v>
      </c>
      <c r="D72" s="30">
        <f t="shared" ref="D72:L72" si="25">1/D71</f>
        <v>0.90212552004972879</v>
      </c>
      <c r="E72" s="30">
        <f t="shared" si="25"/>
        <v>0.95354667469256316</v>
      </c>
      <c r="F72" s="30">
        <f t="shared" si="25"/>
        <v>0.97929243490926254</v>
      </c>
      <c r="G72" s="30">
        <f t="shared" si="25"/>
        <v>0.9900646516932643</v>
      </c>
      <c r="H72" s="30">
        <f t="shared" si="25"/>
        <v>0.99402491030003715</v>
      </c>
      <c r="I72" s="30">
        <f t="shared" si="25"/>
        <v>0.99700698503093721</v>
      </c>
      <c r="J72" s="30">
        <f t="shared" si="25"/>
        <v>0.99900099900099915</v>
      </c>
      <c r="K72" s="30">
        <f t="shared" si="25"/>
        <v>1</v>
      </c>
      <c r="L72" s="30">
        <f t="shared" si="2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07AC-2318-4DCD-A8C7-61A5ACA63DF6}">
  <dimension ref="B2:L53"/>
  <sheetViews>
    <sheetView topLeftCell="A21" zoomScale="56" zoomScaleNormal="85" workbookViewId="0">
      <selection activeCell="B28" sqref="B28"/>
    </sheetView>
  </sheetViews>
  <sheetFormatPr defaultRowHeight="14.5" x14ac:dyDescent="0.35"/>
  <cols>
    <col min="1" max="1" width="1.453125" customWidth="1"/>
    <col min="2" max="2" width="42" style="19" bestFit="1" customWidth="1"/>
    <col min="3" max="4" width="10.453125" bestFit="1" customWidth="1"/>
    <col min="5" max="12" width="11.54296875" bestFit="1" customWidth="1"/>
  </cols>
  <sheetData>
    <row r="2" spans="2:12" ht="15" thickBot="1" x14ac:dyDescent="0.4">
      <c r="B2" s="19" t="s">
        <v>4</v>
      </c>
    </row>
    <row r="3" spans="2:12" x14ac:dyDescent="0.35">
      <c r="B3" s="20" t="s">
        <v>2</v>
      </c>
      <c r="C3" s="2">
        <v>12</v>
      </c>
      <c r="D3" s="2">
        <f t="shared" ref="D3" si="0">C3+12</f>
        <v>24</v>
      </c>
      <c r="E3" s="2">
        <f t="shared" ref="E3" si="1">D3+12</f>
        <v>36</v>
      </c>
      <c r="F3" s="2">
        <f t="shared" ref="F3" si="2">E3+12</f>
        <v>48</v>
      </c>
      <c r="G3" s="2">
        <f t="shared" ref="G3" si="3">F3+12</f>
        <v>60</v>
      </c>
      <c r="H3" s="2">
        <f t="shared" ref="H3" si="4">G3+12</f>
        <v>72</v>
      </c>
      <c r="I3" s="2">
        <f t="shared" ref="I3" si="5">H3+12</f>
        <v>84</v>
      </c>
      <c r="J3" s="2">
        <f t="shared" ref="J3" si="6">I3+12</f>
        <v>96</v>
      </c>
      <c r="K3" s="2">
        <f t="shared" ref="K3" si="7">J3+12</f>
        <v>108</v>
      </c>
      <c r="L3" s="3">
        <f t="shared" ref="L3" si="8">K3+12</f>
        <v>120</v>
      </c>
    </row>
    <row r="4" spans="2:12" x14ac:dyDescent="0.35">
      <c r="B4" s="21">
        <v>1998</v>
      </c>
      <c r="C4" s="5">
        <v>18539254</v>
      </c>
      <c r="D4" s="5">
        <v>33231039</v>
      </c>
      <c r="E4" s="5">
        <v>40062008</v>
      </c>
      <c r="F4" s="5">
        <v>43892039</v>
      </c>
      <c r="G4" s="5">
        <v>45896535</v>
      </c>
      <c r="H4" s="5">
        <v>46765422</v>
      </c>
      <c r="I4" s="5">
        <v>47221322</v>
      </c>
      <c r="J4" s="5">
        <v>47446877</v>
      </c>
      <c r="K4" s="5">
        <v>47555456</v>
      </c>
      <c r="L4" s="5">
        <v>47644187</v>
      </c>
    </row>
    <row r="5" spans="2:12" x14ac:dyDescent="0.35">
      <c r="B5" s="21">
        <v>1999</v>
      </c>
      <c r="C5" s="5">
        <v>20410193</v>
      </c>
      <c r="D5" s="5">
        <v>36090684</v>
      </c>
      <c r="E5" s="5">
        <v>43259402</v>
      </c>
      <c r="F5" s="5">
        <v>47159241</v>
      </c>
      <c r="G5" s="5">
        <v>49208532</v>
      </c>
      <c r="H5" s="5">
        <v>50162043</v>
      </c>
      <c r="I5" s="5">
        <v>50625757</v>
      </c>
      <c r="J5" s="5">
        <v>50878808</v>
      </c>
      <c r="K5" s="5">
        <v>51000534</v>
      </c>
      <c r="L5" s="6"/>
    </row>
    <row r="6" spans="2:12" x14ac:dyDescent="0.35">
      <c r="B6" s="21">
        <v>2000</v>
      </c>
      <c r="C6" s="5">
        <v>22120843</v>
      </c>
      <c r="D6" s="5">
        <v>38976014</v>
      </c>
      <c r="E6" s="5">
        <v>46389282</v>
      </c>
      <c r="F6" s="5">
        <v>50562385</v>
      </c>
      <c r="G6" s="5">
        <v>52735280</v>
      </c>
      <c r="H6" s="5">
        <v>53740101</v>
      </c>
      <c r="I6" s="5">
        <v>54284334</v>
      </c>
      <c r="J6" s="5">
        <v>54533225</v>
      </c>
      <c r="K6" s="5"/>
      <c r="L6" s="6"/>
    </row>
    <row r="7" spans="2:12" x14ac:dyDescent="0.35">
      <c r="B7" s="21">
        <v>2001</v>
      </c>
      <c r="C7" s="5">
        <v>22992259</v>
      </c>
      <c r="D7" s="5">
        <v>40096198</v>
      </c>
      <c r="E7" s="5">
        <v>47767835</v>
      </c>
      <c r="F7" s="5">
        <v>52093916</v>
      </c>
      <c r="G7" s="5">
        <v>54363436</v>
      </c>
      <c r="H7" s="5">
        <v>55378801</v>
      </c>
      <c r="I7" s="5">
        <v>55878421</v>
      </c>
      <c r="J7" s="5"/>
      <c r="K7" s="5"/>
      <c r="L7" s="6"/>
    </row>
    <row r="8" spans="2:12" x14ac:dyDescent="0.35">
      <c r="B8" s="21">
        <v>2002</v>
      </c>
      <c r="C8" s="5">
        <v>24092782</v>
      </c>
      <c r="D8" s="5">
        <v>41795313</v>
      </c>
      <c r="E8" s="5">
        <v>49903803</v>
      </c>
      <c r="F8" s="5">
        <v>54352884</v>
      </c>
      <c r="G8" s="5">
        <v>56754376</v>
      </c>
      <c r="H8" s="5">
        <v>57807215</v>
      </c>
      <c r="I8" s="5"/>
      <c r="J8" s="5"/>
      <c r="K8" s="5"/>
      <c r="L8" s="6"/>
    </row>
    <row r="9" spans="2:12" x14ac:dyDescent="0.35">
      <c r="B9" s="21">
        <v>2003</v>
      </c>
      <c r="C9" s="5">
        <v>24084451</v>
      </c>
      <c r="D9" s="5">
        <v>41399612</v>
      </c>
      <c r="E9" s="5">
        <v>49070332</v>
      </c>
      <c r="F9" s="5">
        <v>53584201</v>
      </c>
      <c r="G9" s="5">
        <v>55930654</v>
      </c>
      <c r="H9" s="5"/>
      <c r="I9" s="5"/>
      <c r="J9" s="5"/>
      <c r="K9" s="5"/>
      <c r="L9" s="6"/>
    </row>
    <row r="10" spans="2:12" x14ac:dyDescent="0.35">
      <c r="B10" s="21">
        <v>2004</v>
      </c>
      <c r="C10" s="5">
        <v>24369770</v>
      </c>
      <c r="D10" s="5">
        <v>41489863</v>
      </c>
      <c r="E10" s="5">
        <v>49236678</v>
      </c>
      <c r="F10" s="5">
        <v>53774672</v>
      </c>
      <c r="G10" s="5"/>
      <c r="H10" s="5"/>
      <c r="I10" s="5"/>
      <c r="J10" s="5"/>
      <c r="K10" s="5"/>
      <c r="L10" s="6"/>
    </row>
    <row r="11" spans="2:12" x14ac:dyDescent="0.35">
      <c r="B11" s="21">
        <v>2005</v>
      </c>
      <c r="C11" s="5">
        <v>25100697</v>
      </c>
      <c r="D11" s="5">
        <v>42702229</v>
      </c>
      <c r="E11" s="5">
        <v>50644994</v>
      </c>
      <c r="F11" s="5"/>
      <c r="G11" s="5"/>
      <c r="H11" s="5"/>
      <c r="I11" s="5"/>
      <c r="J11" s="5"/>
      <c r="K11" s="5"/>
      <c r="L11" s="6"/>
    </row>
    <row r="12" spans="2:12" x14ac:dyDescent="0.35">
      <c r="B12" s="21">
        <v>2006</v>
      </c>
      <c r="C12" s="5">
        <v>25608776</v>
      </c>
      <c r="D12" s="5">
        <v>43606497</v>
      </c>
      <c r="E12" s="5"/>
      <c r="F12" s="5"/>
      <c r="G12" s="5"/>
      <c r="H12" s="5"/>
      <c r="I12" s="5"/>
      <c r="J12" s="5"/>
      <c r="K12" s="5"/>
      <c r="L12" s="6"/>
    </row>
    <row r="13" spans="2:12" x14ac:dyDescent="0.35">
      <c r="B13" s="21">
        <v>2007</v>
      </c>
      <c r="C13" s="5">
        <v>27229969</v>
      </c>
      <c r="D13" s="5"/>
      <c r="E13" s="5"/>
      <c r="F13" s="5"/>
      <c r="G13" s="5"/>
      <c r="H13" s="5"/>
      <c r="I13" s="5"/>
      <c r="J13" s="5"/>
      <c r="K13" s="5"/>
      <c r="L13" s="6"/>
    </row>
    <row r="15" spans="2:12" ht="15" thickBot="1" x14ac:dyDescent="0.4">
      <c r="B15" s="19" t="s">
        <v>63</v>
      </c>
      <c r="K15" s="10"/>
    </row>
    <row r="16" spans="2:12" x14ac:dyDescent="0.35">
      <c r="B16" s="20" t="s">
        <v>2</v>
      </c>
      <c r="C16" s="2" t="s">
        <v>7</v>
      </c>
      <c r="D16" s="2" t="s">
        <v>8</v>
      </c>
      <c r="E16" s="2" t="s">
        <v>9</v>
      </c>
      <c r="F16" s="2" t="s">
        <v>10</v>
      </c>
      <c r="G16" s="2" t="s">
        <v>11</v>
      </c>
      <c r="H16" s="2" t="s">
        <v>12</v>
      </c>
      <c r="I16" s="2" t="s">
        <v>13</v>
      </c>
      <c r="J16" s="2" t="s">
        <v>14</v>
      </c>
      <c r="K16" s="9" t="s">
        <v>15</v>
      </c>
    </row>
    <row r="17" spans="2:11" x14ac:dyDescent="0.35">
      <c r="B17" s="21">
        <v>1998</v>
      </c>
      <c r="C17" s="40">
        <f>IF(D4="","",D4/C4)</f>
        <v>1.7924690497255176</v>
      </c>
      <c r="D17" s="40">
        <f>IF(E4="","",E4/D4)</f>
        <v>1.2055598983829545</v>
      </c>
      <c r="E17" s="40">
        <f>IF(F4="","",F4/E4)</f>
        <v>1.0956025718930513</v>
      </c>
      <c r="F17" s="40">
        <f>IF(G4="","",G4/F4)</f>
        <v>1.0456687828970535</v>
      </c>
      <c r="G17" s="40">
        <f>IF(H4="","",H4/G4)</f>
        <v>1.0189314291372977</v>
      </c>
      <c r="H17" s="40">
        <f>IF(I4="","",I4/H4)</f>
        <v>1.0097486557482578</v>
      </c>
      <c r="I17" s="40">
        <f>IF(J4="","",J4/I4)</f>
        <v>1.0047765498814285</v>
      </c>
      <c r="J17" s="40">
        <f>IF(K4="","",K4/J4)</f>
        <v>1.0022884330195221</v>
      </c>
      <c r="K17" s="40">
        <f>IF(L4="","",L4/K4)</f>
        <v>1.00186584269111</v>
      </c>
    </row>
    <row r="18" spans="2:11" x14ac:dyDescent="0.35">
      <c r="B18" s="21">
        <v>1999</v>
      </c>
      <c r="C18" s="40">
        <f>IF(D5="","",D5/C5)</f>
        <v>1.7682676494043932</v>
      </c>
      <c r="D18" s="40">
        <f>IF(E5="","",E5/D5)</f>
        <v>1.1986307048101388</v>
      </c>
      <c r="E18" s="40">
        <f>IF(F5="","",F5/E5)</f>
        <v>1.0901500903780408</v>
      </c>
      <c r="F18" s="40">
        <f>IF(G5="","",G5/F5)</f>
        <v>1.0434547070000555</v>
      </c>
      <c r="G18" s="40">
        <f>IF(H5="","",H5/G5)</f>
        <v>1.0193769446322845</v>
      </c>
      <c r="H18" s="40">
        <f>IF(I5="","",I5/H5)</f>
        <v>1.0092443204516213</v>
      </c>
      <c r="I18" s="40">
        <f>IF(J5="","",J5/I5)</f>
        <v>1.0049984635291478</v>
      </c>
      <c r="J18" s="40">
        <f>IF(K5="","",K5/J5)</f>
        <v>1.0023924695720072</v>
      </c>
      <c r="K18" s="40" t="str">
        <f>IF(L5="","",L5/K5)</f>
        <v/>
      </c>
    </row>
    <row r="19" spans="2:11" x14ac:dyDescent="0.35">
      <c r="B19" s="21">
        <v>2000</v>
      </c>
      <c r="C19" s="40">
        <f>IF(D6="","",D6/C6)</f>
        <v>1.7619588005755478</v>
      </c>
      <c r="D19" s="40">
        <f>IF(E6="","",E6/D6)</f>
        <v>1.1902007732242708</v>
      </c>
      <c r="E19" s="40">
        <f>IF(F6="","",F6/E6)</f>
        <v>1.089958344257193</v>
      </c>
      <c r="F19" s="40">
        <f>IF(G6="","",G6/F6)</f>
        <v>1.0429745353190913</v>
      </c>
      <c r="G19" s="40">
        <f>IF(H6="","",H6/G6)</f>
        <v>1.0190540564115711</v>
      </c>
      <c r="H19" s="40">
        <f>IF(I6="","",I6/H6)</f>
        <v>1.0101271302039421</v>
      </c>
      <c r="I19" s="40">
        <f>IF(J6="","",J6/I6)</f>
        <v>1.0045849507889331</v>
      </c>
      <c r="J19" s="40" t="str">
        <f>IF(K6="","",K6/J6)</f>
        <v/>
      </c>
      <c r="K19" s="40" t="str">
        <f>IF(L6="","",L6/K6)</f>
        <v/>
      </c>
    </row>
    <row r="20" spans="2:11" x14ac:dyDescent="0.35">
      <c r="B20" s="21">
        <v>2001</v>
      </c>
      <c r="C20" s="40">
        <f>IF(D7="","",D7/C7)</f>
        <v>1.7438998925681901</v>
      </c>
      <c r="D20" s="40">
        <f>IF(E7="","",E7/D7)</f>
        <v>1.1913307840309448</v>
      </c>
      <c r="E20" s="40">
        <f>IF(F7="","",F7/E7)</f>
        <v>1.0905647283365469</v>
      </c>
      <c r="F20" s="40">
        <f>IF(G7="","",G7/F7)</f>
        <v>1.0435659319602697</v>
      </c>
      <c r="G20" s="40">
        <f>IF(H7="","",H7/G7)</f>
        <v>1.0186773514462919</v>
      </c>
      <c r="H20" s="40">
        <f>IF(I7="","",I7/H7)</f>
        <v>1.0090218637994708</v>
      </c>
      <c r="I20" s="40" t="str">
        <f>IF(J7="","",J7/I7)</f>
        <v/>
      </c>
      <c r="J20" s="40" t="str">
        <f>IF(K7="","",K7/J7)</f>
        <v/>
      </c>
      <c r="K20" s="40" t="str">
        <f>IF(L7="","",L7/K7)</f>
        <v/>
      </c>
    </row>
    <row r="21" spans="2:11" x14ac:dyDescent="0.35">
      <c r="B21" s="21">
        <v>2002</v>
      </c>
      <c r="C21" s="40">
        <f>IF(D8="","",D8/C8)</f>
        <v>1.7347649183892504</v>
      </c>
      <c r="D21" s="40">
        <f>IF(E8="","",E8/D8)</f>
        <v>1.1940047679508945</v>
      </c>
      <c r="E21" s="40">
        <f>IF(F8="","",F8/E8)</f>
        <v>1.0891531453023731</v>
      </c>
      <c r="F21" s="40">
        <f>IF(G8="","",G8/F8)</f>
        <v>1.0441833408508736</v>
      </c>
      <c r="G21" s="40">
        <f>IF(H8="","",H8/G8)</f>
        <v>1.0185507986203566</v>
      </c>
      <c r="H21" s="40" t="str">
        <f>IF(I8="","",I8/H8)</f>
        <v/>
      </c>
      <c r="I21" s="40" t="str">
        <f>IF(J8="","",J8/I8)</f>
        <v/>
      </c>
      <c r="J21" s="40" t="str">
        <f>IF(K8="","",K8/J8)</f>
        <v/>
      </c>
      <c r="K21" s="40" t="str">
        <f>IF(L8="","",L8/K8)</f>
        <v/>
      </c>
    </row>
    <row r="22" spans="2:11" x14ac:dyDescent="0.35">
      <c r="B22" s="21">
        <v>2003</v>
      </c>
      <c r="C22" s="40">
        <f>IF(D9="","",D9/C9)</f>
        <v>1.7189352582709898</v>
      </c>
      <c r="D22" s="40">
        <f>IF(E9="","",E9/D9)</f>
        <v>1.1852848282732698</v>
      </c>
      <c r="E22" s="40">
        <f>IF(F9="","",F9/E9)</f>
        <v>1.0919877411874856</v>
      </c>
      <c r="F22" s="40">
        <f>IF(G9="","",G9/F9)</f>
        <v>1.0437900156428572</v>
      </c>
      <c r="G22" s="40" t="str">
        <f>IF(H9="","",H9/G9)</f>
        <v/>
      </c>
      <c r="H22" s="40" t="str">
        <f>IF(I9="","",I9/H9)</f>
        <v/>
      </c>
      <c r="I22" s="40" t="str">
        <f>IF(J9="","",J9/I9)</f>
        <v/>
      </c>
      <c r="J22" s="40" t="str">
        <f>IF(K9="","",K9/J9)</f>
        <v/>
      </c>
      <c r="K22" s="40" t="str">
        <f>IF(L9="","",L9/K9)</f>
        <v/>
      </c>
    </row>
    <row r="23" spans="2:11" x14ac:dyDescent="0.35">
      <c r="B23" s="21">
        <v>2004</v>
      </c>
      <c r="C23" s="40">
        <f>IF(D10="","",D10/C10)</f>
        <v>1.7025135239273903</v>
      </c>
      <c r="D23" s="40">
        <f>IF(E10="","",E10/D10)</f>
        <v>1.1867158491219891</v>
      </c>
      <c r="E23" s="40">
        <f>IF(F10="","",F10/E10)</f>
        <v>1.0921669410759192</v>
      </c>
      <c r="F23" s="40" t="str">
        <f>IF(G10="","",G10/F10)</f>
        <v/>
      </c>
      <c r="G23" s="40" t="str">
        <f>IF(H10="","",H10/G10)</f>
        <v/>
      </c>
      <c r="H23" s="40" t="str">
        <f>IF(I10="","",I10/H10)</f>
        <v/>
      </c>
      <c r="I23" s="40" t="str">
        <f>IF(J10="","",J10/I10)</f>
        <v/>
      </c>
      <c r="J23" s="40" t="str">
        <f>IF(K10="","",K10/J10)</f>
        <v/>
      </c>
      <c r="K23" s="40" t="str">
        <f>IF(L10="","",L10/K10)</f>
        <v/>
      </c>
    </row>
    <row r="24" spans="2:11" x14ac:dyDescent="0.35">
      <c r="B24" s="21">
        <v>2005</v>
      </c>
      <c r="C24" s="40">
        <f>IF(D11="","",D11/C11)</f>
        <v>1.7012367823889512</v>
      </c>
      <c r="D24" s="40">
        <f>IF(E11="","",E11/D11)</f>
        <v>1.1860035222048948</v>
      </c>
      <c r="E24" s="40" t="str">
        <f>IF(F11="","",F11/E11)</f>
        <v/>
      </c>
      <c r="F24" s="40" t="str">
        <f>IF(G11="","",G11/F11)</f>
        <v/>
      </c>
      <c r="G24" s="40" t="str">
        <f>IF(H11="","",H11/G11)</f>
        <v/>
      </c>
      <c r="H24" s="40" t="str">
        <f>IF(I11="","",I11/H11)</f>
        <v/>
      </c>
      <c r="I24" s="40" t="str">
        <f>IF(J11="","",J11/I11)</f>
        <v/>
      </c>
      <c r="J24" s="40" t="str">
        <f>IF(K11="","",K11/J11)</f>
        <v/>
      </c>
      <c r="K24" s="40" t="str">
        <f>IF(L11="","",L11/K11)</f>
        <v/>
      </c>
    </row>
    <row r="25" spans="2:11" x14ac:dyDescent="0.35">
      <c r="B25" s="21">
        <v>2006</v>
      </c>
      <c r="C25" s="40">
        <f>IF(D12="","",D12/C12)</f>
        <v>1.7027950496345472</v>
      </c>
      <c r="D25" s="40" t="str">
        <f>IF(E12="","",E12/D12)</f>
        <v/>
      </c>
      <c r="E25" s="40" t="str">
        <f>IF(F12="","",F12/E12)</f>
        <v/>
      </c>
      <c r="F25" s="40" t="str">
        <f>IF(G12="","",G12/F12)</f>
        <v/>
      </c>
      <c r="G25" s="40" t="str">
        <f>IF(H12="","",H12/G12)</f>
        <v/>
      </c>
      <c r="H25" s="40" t="str">
        <f>IF(I12="","",I12/H12)</f>
        <v/>
      </c>
      <c r="I25" s="40" t="str">
        <f>IF(J12="","",J12/I12)</f>
        <v/>
      </c>
      <c r="J25" s="40" t="str">
        <f>IF(K12="","",K12/J12)</f>
        <v/>
      </c>
      <c r="K25" s="40" t="str">
        <f>IF(L12="","",L12/K12)</f>
        <v/>
      </c>
    </row>
    <row r="26" spans="2:11" x14ac:dyDescent="0.35">
      <c r="B26" s="21">
        <v>2007</v>
      </c>
      <c r="C26" s="40" t="str">
        <f>IF(D13="","",D13/C13)</f>
        <v/>
      </c>
      <c r="D26" s="40" t="str">
        <f>IF(E13="","",E13/D13)</f>
        <v/>
      </c>
      <c r="E26" s="40" t="str">
        <f>IF(F13="","",F13/E13)</f>
        <v/>
      </c>
      <c r="F26" s="40" t="str">
        <f>IF(G13="","",G13/F13)</f>
        <v/>
      </c>
      <c r="G26" s="40" t="str">
        <f>IF(H13="","",H13/G13)</f>
        <v/>
      </c>
      <c r="H26" s="40" t="str">
        <f>IF(I13="","",I13/H13)</f>
        <v/>
      </c>
      <c r="I26" s="40" t="str">
        <f>IF(J13="","",J13/I13)</f>
        <v/>
      </c>
      <c r="J26" s="40" t="str">
        <f>IF(K13="","",K13/J13)</f>
        <v/>
      </c>
      <c r="K26" s="40" t="str">
        <f>IF(L13="","",L13/K13)</f>
        <v/>
      </c>
    </row>
    <row r="28" spans="2:11" ht="15" thickBot="1" x14ac:dyDescent="0.4">
      <c r="B28" s="19" t="s">
        <v>64</v>
      </c>
      <c r="K28" s="10"/>
    </row>
    <row r="29" spans="2:11" x14ac:dyDescent="0.35">
      <c r="B29" s="22" t="s">
        <v>2</v>
      </c>
      <c r="C29" s="12" t="s">
        <v>7</v>
      </c>
      <c r="D29" s="12" t="s">
        <v>8</v>
      </c>
      <c r="E29" s="12" t="s">
        <v>9</v>
      </c>
      <c r="F29" s="12" t="s">
        <v>10</v>
      </c>
      <c r="G29" s="12" t="s">
        <v>11</v>
      </c>
      <c r="H29" s="12" t="s">
        <v>12</v>
      </c>
      <c r="I29" s="12" t="s">
        <v>13</v>
      </c>
      <c r="J29" s="12" t="s">
        <v>14</v>
      </c>
      <c r="K29" s="12" t="s">
        <v>15</v>
      </c>
    </row>
    <row r="30" spans="2:11" x14ac:dyDescent="0.35">
      <c r="B30" s="23" t="s">
        <v>24</v>
      </c>
      <c r="C30" s="13"/>
      <c r="D30" s="13"/>
      <c r="E30" s="13"/>
      <c r="F30" s="13"/>
      <c r="G30" s="13"/>
      <c r="H30" s="13"/>
      <c r="I30" s="13"/>
      <c r="J30" s="13"/>
      <c r="K30" s="13"/>
    </row>
    <row r="31" spans="2:11" x14ac:dyDescent="0.35">
      <c r="B31" s="24" t="s">
        <v>19</v>
      </c>
      <c r="C31" s="41" cm="1">
        <f t="array" ref="C31">IF(COUNT(C17:C26)&lt;=5,
AVERAGE(C17:C26),
AVERAGE(_xlfn.TAKE(_xlfn._xlws.FILTER(C17:C26,C17:C26&lt;&gt;""),-5))
)</f>
        <v>1.7120491065222256</v>
      </c>
      <c r="D31" s="41" cm="1">
        <f t="array" ref="D31">IF(COUNT(D17:D26)&lt;=5,
AVERAGE(D17:D26),
AVERAGE(_xlfn.TAKE(_xlfn._xlws.FILTER(D17:D26,D17:D26&lt;&gt;""),-5))
)</f>
        <v>1.1886679503163986</v>
      </c>
      <c r="E31" s="41" cm="1">
        <f t="array" ref="E31">IF(COUNT(E17:E26)&lt;=5,
AVERAGE(E17:E26),
AVERAGE(_xlfn.TAKE(_xlfn._xlws.FILTER(E17:E26,E17:E26&lt;&gt;""),-5))
)</f>
        <v>1.0907661800319035</v>
      </c>
      <c r="F31" s="41" cm="1">
        <f t="array" ref="F31">IF(COUNT(F17:F26)&lt;=5,
AVERAGE(F17:F26),
AVERAGE(_xlfn.TAKE(_xlfn._xlws.FILTER(F17:F26,F17:F26&lt;&gt;""),-5))
)</f>
        <v>1.0435937061546294</v>
      </c>
      <c r="G31" s="41" cm="1">
        <f t="array" ref="G31">IF(COUNT(G17:G26)&lt;=5,
AVERAGE(G17:G26),
AVERAGE(_xlfn.TAKE(_xlfn._xlws.FILTER(G17:G26,G17:G26&lt;&gt;""),-5))
)</f>
        <v>1.0189181160495604</v>
      </c>
      <c r="H31" s="41" cm="1">
        <f t="array" ref="H31">IF(COUNT(H17:H26)&lt;=5,
AVERAGE(H17:H26),
AVERAGE(_xlfn.TAKE(_xlfn._xlws.FILTER(H17:H26,H17:H26&lt;&gt;""),-5))
)</f>
        <v>1.0095354925508229</v>
      </c>
      <c r="I31" s="41" cm="1">
        <f t="array" ref="I31">IF(COUNT(I17:I26)&lt;=5,
AVERAGE(I17:I26),
AVERAGE(_xlfn.TAKE(_xlfn._xlws.FILTER(I17:I26,I17:I26&lt;&gt;""),-5))
)</f>
        <v>1.0047866547331699</v>
      </c>
      <c r="J31" s="41" cm="1">
        <f t="array" ref="J31">IF(COUNT(J17:J26)&lt;=5,
AVERAGE(J17:J26),
AVERAGE(_xlfn.TAKE(_xlfn._xlws.FILTER(J17:J26,J17:J26&lt;&gt;""),-5))
)</f>
        <v>1.0023404512957645</v>
      </c>
      <c r="K31" s="41" cm="1">
        <f t="array" ref="K31">IF(COUNT(K17:K26)&lt;=5,
AVERAGE(K17:K26),
AVERAGE(_xlfn.TAKE(_xlfn._xlws.FILTER(K17:K26,K17:K26&lt;&gt;""),-5))
)</f>
        <v>1.00186584269111</v>
      </c>
    </row>
    <row r="32" spans="2:11" x14ac:dyDescent="0.35">
      <c r="B32" s="25" t="s">
        <v>21</v>
      </c>
      <c r="C32" s="42" cm="1">
        <f t="array" ref="C32">IF(COUNT(C17:C26)&lt;=4,
AVERAGE(C17:C26),
AVERAGE(_xlfn.TAKE(_xlfn._xlws.FILTER(C17:C26,C17:C26&lt;&gt;""),-4))
)</f>
        <v>1.7063701535554696</v>
      </c>
      <c r="D32" s="42" cm="1">
        <f t="array" ref="D32">IF(COUNT(D17:D26)&lt;=4,
AVERAGE(D17:D26),
AVERAGE(_xlfn.TAKE(_xlfn._xlws.FILTER(D17:D26,D17:D26&lt;&gt;""),-4))
)</f>
        <v>1.188002241887762</v>
      </c>
      <c r="E32" s="42" cm="1">
        <f t="array" ref="E32">IF(COUNT(E17:E26)&lt;=4,
AVERAGE(E17:E26),
AVERAGE(_xlfn.TAKE(_xlfn._xlws.FILTER(E17:E26,E17:E26&lt;&gt;""),-4))
)</f>
        <v>1.0909681389755812</v>
      </c>
      <c r="F32" s="42" cm="1">
        <f t="array" ref="F32">IF(COUNT(F17:F26)&lt;=4,
AVERAGE(F17:F26),
AVERAGE(_xlfn.TAKE(_xlfn._xlws.FILTER(F17:F26,F17:F26&lt;&gt;""),-4))
)</f>
        <v>1.0436284559432729</v>
      </c>
      <c r="G32" s="42" cm="1">
        <f t="array" ref="G32">IF(COUNT(G17:G26)&lt;=4,
AVERAGE(G17:G26),
AVERAGE(_xlfn.TAKE(_xlfn._xlws.FILTER(G17:G26,G17:G26&lt;&gt;""),-4))
)</f>
        <v>1.0189147877776261</v>
      </c>
      <c r="H32" s="42" cm="1">
        <f t="array" ref="H32">IF(COUNT(H17:H26)&lt;=4,
AVERAGE(H17:H26),
AVERAGE(_xlfn.TAKE(_xlfn._xlws.FILTER(H17:H26,H17:H26&lt;&gt;""),-4))
)</f>
        <v>1.0095354925508229</v>
      </c>
      <c r="I32" s="42" cm="1">
        <f t="array" ref="I32">IF(COUNT(I17:I26)&lt;=4,
AVERAGE(I17:I26),
AVERAGE(_xlfn.TAKE(_xlfn._xlws.FILTER(I17:I26,I17:I26&lt;&gt;""),-4))
)</f>
        <v>1.0047866547331699</v>
      </c>
      <c r="J32" s="42" cm="1">
        <f t="array" ref="J32">IF(COUNT(J17:J26)&lt;=4,
AVERAGE(J17:J26),
AVERAGE(_xlfn.TAKE(_xlfn._xlws.FILTER(J17:J26,J17:J26&lt;&gt;""),-4))
)</f>
        <v>1.0023404512957645</v>
      </c>
      <c r="K32" s="42" cm="1">
        <f t="array" ref="K32">IF(COUNT(K17:K26)&lt;=4,
AVERAGE(K17:K26),
AVERAGE(_xlfn.TAKE(_xlfn._xlws.FILTER(K17:K26,K17:K26&lt;&gt;""),-4))
)</f>
        <v>1.00186584269111</v>
      </c>
    </row>
    <row r="33" spans="2:11" x14ac:dyDescent="0.35">
      <c r="B33" s="25" t="s">
        <v>22</v>
      </c>
      <c r="C33" s="42" cm="1">
        <f t="array" ref="C33">IF(COUNT(C17:C26)&lt;=3,
AVERAGE(C17:C26),
AVERAGE(_xlfn.TAKE(_xlfn._xlws.FILTER(C17:C26,C17:C26&lt;&gt;""),-3))
)</f>
        <v>1.702181785316963</v>
      </c>
      <c r="D33" s="42" cm="1">
        <f t="array" ref="D33">IF(COUNT(D17:D26)&lt;=3,
AVERAGE(D17:D26),
AVERAGE(_xlfn.TAKE(_xlfn._xlws.FILTER(D17:D26,D17:D26&lt;&gt;""),-3))
)</f>
        <v>1.1860013998667178</v>
      </c>
      <c r="E33" s="42" cm="1">
        <f t="array" ref="E33">IF(COUNT(E17:E26)&lt;=3,
AVERAGE(E17:E26),
AVERAGE(_xlfn.TAKE(_xlfn._xlws.FILTER(E17:E26,E17:E26&lt;&gt;""),-3))
)</f>
        <v>1.0911026091885925</v>
      </c>
      <c r="F33" s="42" cm="1">
        <f t="array" ref="F33">IF(COUNT(F17:F26)&lt;=3,
AVERAGE(F17:F26),
AVERAGE(_xlfn.TAKE(_xlfn._xlws.FILTER(F17:F26,F17:F26&lt;&gt;""),-3))
)</f>
        <v>1.0438464294846668</v>
      </c>
      <c r="G33" s="42" cm="1">
        <f t="array" ref="G33">IF(COUNT(G17:G26)&lt;=3,
AVERAGE(G17:G26),
AVERAGE(_xlfn.TAKE(_xlfn._xlws.FILTER(G17:G26,G17:G26&lt;&gt;""),-3))
)</f>
        <v>1.0187607354927399</v>
      </c>
      <c r="H33" s="42" cm="1">
        <f t="array" ref="H33">IF(COUNT(H17:H26)&lt;=3,
AVERAGE(H17:H26),
AVERAGE(_xlfn.TAKE(_xlfn._xlws.FILTER(H17:H26,H17:H26&lt;&gt;""),-3))
)</f>
        <v>1.009464438151678</v>
      </c>
      <c r="I33" s="42" cm="1">
        <f t="array" ref="I33">IF(COUNT(I17:I26)&lt;=3,
AVERAGE(I17:I26),
AVERAGE(_xlfn.TAKE(_xlfn._xlws.FILTER(I17:I26,I17:I26&lt;&gt;""),-3))
)</f>
        <v>1.0047866547331699</v>
      </c>
      <c r="J33" s="42" cm="1">
        <f t="array" ref="J33">IF(COUNT(J17:J26)&lt;=3,
AVERAGE(J17:J26),
AVERAGE(_xlfn.TAKE(_xlfn._xlws.FILTER(J17:J26,J17:J26&lt;&gt;""),-3))
)</f>
        <v>1.0023404512957645</v>
      </c>
      <c r="K33" s="42" cm="1">
        <f t="array" ref="K33">IF(COUNT(K17:K26)&lt;=3,
AVERAGE(K17:K26),
AVERAGE(_xlfn.TAKE(_xlfn._xlws.FILTER(K17:K26,K17:K26&lt;&gt;""),-3))
)</f>
        <v>1.00186584269111</v>
      </c>
    </row>
    <row r="34" spans="2:11" x14ac:dyDescent="0.35">
      <c r="B34" s="26" t="s">
        <v>23</v>
      </c>
      <c r="C34" s="43" cm="1">
        <f t="array" ref="C34">IF(COUNT(C17:C26)&lt;=2,
AVERAGE(C17:C26),
AVERAGE(_xlfn.TAKE(_xlfn._xlws.FILTER(C17:C26,C17:C26&lt;&gt;""),-2))
)</f>
        <v>1.7020159160117492</v>
      </c>
      <c r="D34" s="43" cm="1">
        <f t="array" ref="D34">IF(COUNT(D17:D26)&lt;=2,
AVERAGE(D17:D26),
AVERAGE(_xlfn.TAKE(_xlfn._xlws.FILTER(D17:D26,D17:D26&lt;&gt;""),-2))
)</f>
        <v>1.186359685663442</v>
      </c>
      <c r="E34" s="43" cm="1">
        <f t="array" ref="E34">IF(COUNT(E17:E26)&lt;=2,
AVERAGE(E17:E26),
AVERAGE(_xlfn.TAKE(_xlfn._xlws.FILTER(E17:E26,E17:E26&lt;&gt;""),-2))
)</f>
        <v>1.0920773411317024</v>
      </c>
      <c r="F34" s="43" cm="1">
        <f t="array" ref="F34">IF(COUNT(F17:F26)&lt;=2,
AVERAGE(F17:F26),
AVERAGE(_xlfn.TAKE(_xlfn._xlws.FILTER(F17:F26,F17:F26&lt;&gt;""),-2))
)</f>
        <v>1.0439866782468654</v>
      </c>
      <c r="G34" s="43" cm="1">
        <f t="array" ref="G34">IF(COUNT(G17:G26)&lt;=2,
AVERAGE(G17:G26),
AVERAGE(_xlfn.TAKE(_xlfn._xlws.FILTER(G17:G26,G17:G26&lt;&gt;""),-2))
)</f>
        <v>1.0186140750333244</v>
      </c>
      <c r="H34" s="43" cm="1">
        <f t="array" ref="H34">IF(COUNT(H17:H26)&lt;=2,
AVERAGE(H17:H26),
AVERAGE(_xlfn.TAKE(_xlfn._xlws.FILTER(H17:H26,H17:H26&lt;&gt;""),-2))
)</f>
        <v>1.0095744970017064</v>
      </c>
      <c r="I34" s="43" cm="1">
        <f t="array" ref="I34">IF(COUNT(I17:I26)&lt;=2,
AVERAGE(I17:I26),
AVERAGE(_xlfn.TAKE(_xlfn._xlws.FILTER(I17:I26,I17:I26&lt;&gt;""),-2))
)</f>
        <v>1.0047917071590404</v>
      </c>
      <c r="J34" s="43" cm="1">
        <f t="array" ref="J34">IF(COUNT(J17:J26)&lt;=2,
AVERAGE(J17:J26),
AVERAGE(_xlfn.TAKE(_xlfn._xlws.FILTER(J17:J26,J17:J26&lt;&gt;""),-2))
)</f>
        <v>1.0023404512957645</v>
      </c>
      <c r="K34" s="43" cm="1">
        <f t="array" ref="K34">IF(COUNT(K17:K26)&lt;=2,
AVERAGE(K17:K26),
AVERAGE(_xlfn.TAKE(_xlfn._xlws.FILTER(K17:K26,K17:K26&lt;&gt;""),-2))
)</f>
        <v>1.00186584269111</v>
      </c>
    </row>
    <row r="35" spans="2:11" x14ac:dyDescent="0.35">
      <c r="B35" s="23" t="s">
        <v>25</v>
      </c>
      <c r="C35" s="44"/>
      <c r="D35" s="44"/>
      <c r="E35" s="44"/>
      <c r="F35" s="44"/>
      <c r="G35" s="44"/>
      <c r="H35" s="44"/>
      <c r="I35" s="44"/>
      <c r="J35" s="44"/>
      <c r="K35" s="44"/>
    </row>
    <row r="36" spans="2:11" x14ac:dyDescent="0.35">
      <c r="B36" s="27" t="s">
        <v>26</v>
      </c>
      <c r="C36" s="45" cm="1">
        <f t="array" ref="C36">_xlfn.LET(
_xlpm.x, _xlfn._xlws.FILTER(C17:C26, C17:C26&lt;&gt;""),
_xlpm.n, ROWS(_xlpm.x),
IF(_xlpm.n&lt;=2,
    AVERAGE(_xlpm.x),
    AVERAGE(INDEX(_xlfn._xlws.SORT(_xlpm.x), _xlfn.SEQUENCE(_xlpm.n-2,1,2)))
)
)</f>
        <v>1.7333050132529011</v>
      </c>
      <c r="D36" s="45" cm="1">
        <f t="array" ref="D36">_xlfn.LET(
_xlpm.x, _xlfn._xlws.FILTER(D17:D26, D17:D26&lt;&gt;""),
_xlpm.n, ROWS(_xlpm.x),
IF(_xlpm.n&lt;=2,
    AVERAGE(_xlpm.x),
    AVERAGE(INDEX(_xlfn._xlws.SORT(_xlpm.x), _xlfn.SEQUENCE(_xlpm.n-2,1,2)))
)
)</f>
        <v>1.1911477335571887</v>
      </c>
      <c r="E36" s="45" cm="1">
        <f t="array" ref="E36">_xlfn.LET(
_xlpm.x, _xlfn._xlws.FILTER(E17:E26, E17:E26&lt;&gt;""),
_xlpm.n, ROWS(_xlpm.x),
IF(_xlpm.n&lt;=2,
    AVERAGE(_xlpm.x),
    AVERAGE(INDEX(_xlfn._xlws.SORT(_xlpm.x), _xlfn.SEQUENCE(_xlpm.n-2,1,2)))
)
)</f>
        <v>1.0909655690470372</v>
      </c>
      <c r="F36" s="45" cm="1">
        <f t="array" ref="F36">_xlfn.LET(
_xlpm.x, _xlfn._xlws.FILTER(F17:F26, F17:F26&lt;&gt;""),
_xlpm.n, ROWS(_xlpm.x),
IF(_xlpm.n&lt;=2,
    AVERAGE(_xlpm.x),
    AVERAGE(INDEX(_xlfn._xlws.SORT(_xlpm.x), _xlfn.SEQUENCE(_xlpm.n-2,1,2)))
)
)</f>
        <v>1.043748498863514</v>
      </c>
      <c r="G36" s="45" cm="1">
        <f t="array" ref="G36">_xlfn.LET(
_xlpm.x, _xlfn._xlws.FILTER(G17:G26, G17:G26&lt;&gt;""),
_xlpm.n, ROWS(_xlpm.x),
IF(_xlpm.n&lt;=2,
    AVERAGE(_xlpm.x),
    AVERAGE(INDEX(_xlfn._xlws.SORT(_xlpm.x), _xlfn.SEQUENCE(_xlpm.n-2,1,2)))
)
)</f>
        <v>1.0188876123317201</v>
      </c>
      <c r="H36" s="45" cm="1">
        <f t="array" ref="H36">_xlfn.LET(
_xlpm.x, _xlfn._xlws.FILTER(H17:H26, H17:H26&lt;&gt;""),
_xlpm.n, ROWS(_xlpm.x),
IF(_xlpm.n&lt;=2,
    AVERAGE(_xlpm.x),
    AVERAGE(INDEX(_xlfn._xlws.SORT(_xlpm.x), _xlfn.SEQUENCE(_xlpm.n-2,1,2)))
)
)</f>
        <v>1.0094964880999395</v>
      </c>
      <c r="I36" s="45" cm="1">
        <f t="array" ref="I36">_xlfn.LET(
_xlpm.x, _xlfn._xlws.FILTER(I17:I26, I17:I26&lt;&gt;""),
_xlpm.n, ROWS(_xlpm.x),
IF(_xlpm.n&lt;=2,
    AVERAGE(_xlpm.x),
    AVERAGE(INDEX(_xlfn._xlws.SORT(_xlpm.x), _xlfn.SEQUENCE(_xlpm.n-2,1,2)))
)
)</f>
        <v>1.0047765498814285</v>
      </c>
      <c r="J36" s="45" cm="1">
        <f t="array" ref="J36">_xlfn.LET(
_xlpm.x, _xlfn._xlws.FILTER(J17:J26, J17:J26&lt;&gt;""),
_xlpm.n, ROWS(_xlpm.x),
IF(_xlpm.n&lt;=2,
    AVERAGE(_xlpm.x),
    AVERAGE(INDEX(_xlfn._xlws.SORT(_xlpm.x), _xlfn.SEQUENCE(_xlpm.n-2,1,2)))
)
)</f>
        <v>1.0023404512957645</v>
      </c>
      <c r="K36" s="45" cm="1">
        <f t="array" ref="K36">_xlfn.LET(
_xlpm.x, _xlfn._xlws.FILTER(K17:K26, K17:K26&lt;&gt;""),
_xlpm.n, ROWS(_xlpm.x),
IF(_xlpm.n&lt;=2,
    AVERAGE(_xlpm.x),
    AVERAGE(INDEX(_xlfn._xlws.SORT(_xlpm.x), _xlfn.SEQUENCE(_xlpm.n-2,1,2)))
)
)</f>
        <v>1.00186584269111</v>
      </c>
    </row>
    <row r="37" spans="2:11" x14ac:dyDescent="0.35">
      <c r="B37" s="23" t="s">
        <v>18</v>
      </c>
      <c r="C37" s="44"/>
      <c r="D37" s="44"/>
      <c r="E37" s="44"/>
      <c r="F37" s="44"/>
      <c r="G37" s="44"/>
      <c r="H37" s="44"/>
      <c r="I37" s="44"/>
      <c r="J37" s="44"/>
      <c r="K37" s="44"/>
    </row>
    <row r="38" spans="2:11" x14ac:dyDescent="0.35">
      <c r="B38" s="24" t="s">
        <v>19</v>
      </c>
      <c r="C38" s="46">
        <f>SUM(D4:D8)/SUM(C4:C8)</f>
        <v>1.7584824182175542</v>
      </c>
      <c r="D38" s="46">
        <f>SUM(E4:E8)/SUM(D4:D8)</f>
        <v>1.1955582788780994</v>
      </c>
      <c r="E38" s="46">
        <f>SUM(F4:F8)/SUM(E4:E8)</f>
        <v>1.0909399380330036</v>
      </c>
      <c r="F38" s="46">
        <f>SUM(G4:G8)/SUM(F4:F8)</f>
        <v>1.043931603530615</v>
      </c>
      <c r="G38" s="46">
        <f>SUM(H4:H8)/SUM(G4:G8)</f>
        <v>1.0189043010612382</v>
      </c>
      <c r="H38" s="46">
        <f>SUM(I4:I7)/SUM(H4:H7)</f>
        <v>1.0095292483366134</v>
      </c>
      <c r="I38" s="46">
        <f>SUM(J4:J6)/SUM(I4:I6)</f>
        <v>1.0047820301254942</v>
      </c>
      <c r="J38" s="46">
        <f>SUM(K4:K5)/SUM(J4:J5)</f>
        <v>1.0023422669264903</v>
      </c>
      <c r="K38" s="46">
        <f>SUM(L4)/SUM(K4)</f>
        <v>1.00186584269111</v>
      </c>
    </row>
    <row r="39" spans="2:11" x14ac:dyDescent="0.35">
      <c r="B39" s="25" t="s">
        <v>21</v>
      </c>
      <c r="C39" s="40">
        <f>SUM(D4:D7)/SUM(C4:C7)</f>
        <v>1.7652799821713709</v>
      </c>
      <c r="D39" s="40">
        <f>SUM(E4:E7)/SUM(D4:D7)</f>
        <v>1.1959958269183979</v>
      </c>
      <c r="E39" s="40">
        <f>SUM(F4:F7)/SUM(E4:E7)</f>
        <v>1.0914423523472223</v>
      </c>
      <c r="F39" s="40">
        <f>SUM(G4:G7)/SUM(F4:F7)</f>
        <v>1.0438609679401241</v>
      </c>
      <c r="G39" s="40">
        <f>SUM(H4:H7)/SUM(G4:G7)</f>
        <v>1.0190035218084916</v>
      </c>
      <c r="H39" s="40">
        <f>SUM(I4:I7)/SUM(H4:H7)</f>
        <v>1.0095292483366134</v>
      </c>
      <c r="I39" s="40">
        <f>SUM(J4:J6)/SUM(I4:I6)</f>
        <v>1.0047820301254942</v>
      </c>
      <c r="J39" s="40">
        <f>SUM(K4:K5)/SUM(J4:J5)</f>
        <v>1.0023422669264903</v>
      </c>
      <c r="K39" s="40">
        <f>SUM(L4)/SUM(K4)</f>
        <v>1.00186584269111</v>
      </c>
    </row>
    <row r="40" spans="2:11" x14ac:dyDescent="0.35">
      <c r="B40" s="25" t="s">
        <v>22</v>
      </c>
      <c r="C40" s="40">
        <f>SUM(D4:D6)/SUM(C4:C6)</f>
        <v>1.7733293390288469</v>
      </c>
      <c r="D40" s="40">
        <f>SUM(E4:E6)/SUM(D4:D6)</f>
        <v>1.1977230142860695</v>
      </c>
      <c r="E40" s="40">
        <f>SUM(F4:F6)/SUM(E4:E6)</f>
        <v>1.0917655500596666</v>
      </c>
      <c r="F40" s="40">
        <f>SUM(G4:G6)/SUM(F4:F6)</f>
        <v>1.0439694996948212</v>
      </c>
      <c r="G40" s="40">
        <f>SUM(H4:H6)/SUM(G4:G6)</f>
        <v>1.0191234602554065</v>
      </c>
      <c r="H40" s="40">
        <f>SUM(I4:I6)/SUM(H4:H6)</f>
        <v>1.0097157406790522</v>
      </c>
      <c r="I40" s="40">
        <f>SUM(J4:J6)/SUM(I4:I6)</f>
        <v>1.0047820301254942</v>
      </c>
      <c r="J40" s="40">
        <f>SUM(K4:K5)/SUM(J4:J5)</f>
        <v>1.0023422669264903</v>
      </c>
      <c r="K40" s="40">
        <f>SUM(L4)/SUM(K4)</f>
        <v>1.00186584269111</v>
      </c>
    </row>
    <row r="41" spans="2:11" x14ac:dyDescent="0.35">
      <c r="B41" s="26" t="s">
        <v>23</v>
      </c>
      <c r="C41" s="43">
        <f>SUM(D4:D5)/SUM(C4:C5)</f>
        <v>1.7797870917140364</v>
      </c>
      <c r="D41" s="43">
        <f>SUM(E4:E5)/SUM(D4:D5)</f>
        <v>1.2019523807854573</v>
      </c>
      <c r="E41" s="43">
        <f>SUM(F4:F5)/SUM(E4:E5)</f>
        <v>1.0927717137768072</v>
      </c>
      <c r="F41" s="43">
        <f>SUM(G4:G5)/SUM(F4:F5)</f>
        <v>1.0445220209973984</v>
      </c>
      <c r="G41" s="43">
        <f>SUM(H4:H5)/SUM(G4:G5)</f>
        <v>1.0191619443367828</v>
      </c>
      <c r="H41" s="43">
        <f>SUM(I4:I5)/SUM(H4:H5)</f>
        <v>1.0094876514102582</v>
      </c>
      <c r="I41" s="43">
        <f>SUM(J4:J5)/SUM(I4:I5)</f>
        <v>1.004891367273212</v>
      </c>
      <c r="J41" s="43">
        <f>SUM(K4:K5)/SUM(J4:J5)</f>
        <v>1.0023422669264903</v>
      </c>
      <c r="K41" s="43">
        <f>SUM(L4)/SUM(K4)</f>
        <v>1.00186584269111</v>
      </c>
    </row>
    <row r="42" spans="2:11" x14ac:dyDescent="0.35">
      <c r="B42" s="23" t="s">
        <v>27</v>
      </c>
      <c r="C42" s="44"/>
      <c r="D42" s="44"/>
      <c r="E42" s="44"/>
      <c r="F42" s="44"/>
      <c r="G42" s="44"/>
      <c r="H42" s="44"/>
      <c r="I42" s="44"/>
      <c r="J42" s="44"/>
      <c r="K42" s="44"/>
    </row>
    <row r="43" spans="2:11" x14ac:dyDescent="0.35">
      <c r="B43" s="24" t="s">
        <v>19</v>
      </c>
      <c r="C43" s="47" cm="1">
        <f t="array" ref="C43">GEOMEAN(_xlfn.TAKE(_xlfn._xlws.FILTER(C17:C26,C17:C26&lt;&gt;""),-5))</f>
        <v>1.7119992607957102</v>
      </c>
      <c r="D43" s="47" cm="1">
        <f t="array" ref="D43">GEOMEAN(_xlfn.TAKE(_xlfn._xlws.FILTER(D17:D26,D17:D26&lt;&gt;""),-5))</f>
        <v>1.1886630819585338</v>
      </c>
      <c r="E43" s="47" cm="1">
        <f t="array" ref="E43">GEOMEAN(_xlfn.TAKE(_xlfn._xlws.FILTER(E17:E26,E17:E26&lt;&gt;""),-5))</f>
        <v>1.0907655612459708</v>
      </c>
      <c r="F43" s="47" cm="1">
        <f t="array" ref="F43">GEOMEAN(_xlfn.TAKE(_xlfn._xlws.FILTER(F17:F26,F17:F26&lt;&gt;""),-5))</f>
        <v>1.0435936304844857</v>
      </c>
      <c r="G43" s="47" cm="1">
        <f t="array" ref="G43">GEOMEAN(_xlfn.TAKE(_xlfn._xlws.FILTER(G17:G26,G17:G26&lt;&gt;""),-5))</f>
        <v>1.0189180746284585</v>
      </c>
      <c r="H43" s="47" cm="1">
        <f t="array" ref="H43">GEOMEAN(_xlfn.TAKE(_xlfn._xlws.FILTER(H17:H26,H17:H26&lt;&gt;""),-5))</f>
        <v>1.0095354004252803</v>
      </c>
      <c r="I43" s="47" cm="1">
        <f t="array" ref="I43">GEOMEAN(_xlfn.TAKE(_xlfn._xlws.FILTER(I17:I26,I17:I26&lt;&gt;""),-5))</f>
        <v>1.0047866405263899</v>
      </c>
      <c r="J43" s="47" cm="1">
        <f t="array" ref="J43">GEOMEAN(_xlfn.TAKE(_xlfn._xlws.FILTER(J17:J26,J17:J26&lt;&gt;""),-5))</f>
        <v>1.0023404499459732</v>
      </c>
      <c r="K43" s="47" cm="1">
        <f t="array" ref="K43">GEOMEAN(_xlfn.TAKE(_xlfn._xlws.FILTER(K17:K26,K17:K26&lt;&gt;""),-5))</f>
        <v>1.00186584269111</v>
      </c>
    </row>
    <row r="44" spans="2:11" x14ac:dyDescent="0.35">
      <c r="B44" s="25" t="s">
        <v>21</v>
      </c>
      <c r="C44" s="48" cm="1">
        <f t="array" ref="C44">GEOMEAN(_xlfn.TAKE(_xlfn._xlws.FILTER(C17:C26,C17:C26&lt;&gt;""),-4))</f>
        <v>1.7063546813955146</v>
      </c>
      <c r="D44" s="48" cm="1">
        <f t="array" ref="D44">GEOMEAN(_xlfn.TAKE(_xlfn._xlws.FILTER(D17:D26,D17:D26&lt;&gt;""),-4))</f>
        <v>1.1879970903516861</v>
      </c>
      <c r="E44" s="48" cm="1">
        <f t="array" ref="E44">GEOMEAN(_xlfn.TAKE(_xlfn._xlws.FILTER(E17:E26,E17:E26&lt;&gt;""),-4))</f>
        <v>1.0909674588853042</v>
      </c>
      <c r="F44" s="48" cm="1">
        <f t="array" ref="F44">GEOMEAN(_xlfn.TAKE(_xlfn._xlws.FILTER(F17:F26,F17:F26&lt;&gt;""),-4))</f>
        <v>1.0436283642454964</v>
      </c>
      <c r="G44" s="48" cm="1">
        <f t="array" ref="G44">GEOMEAN(_xlfn.TAKE(_xlfn._xlws.FILTER(G17:G26,G17:G26&lt;&gt;""),-4))</f>
        <v>1.0189147360285968</v>
      </c>
      <c r="H44" s="48" cm="1">
        <f t="array" ref="H44">GEOMEAN(_xlfn.TAKE(_xlfn._xlws.FILTER(H17:H26,H17:H26&lt;&gt;""),-4))</f>
        <v>1.0095354004252803</v>
      </c>
      <c r="I44" s="48" cm="1">
        <f t="array" ref="I44">GEOMEAN(_xlfn.TAKE(_xlfn._xlws.FILTER(I17:I26,I17:I26&lt;&gt;""),-4))</f>
        <v>1.0047866405263899</v>
      </c>
      <c r="J44" s="48" cm="1">
        <f t="array" ref="J44">GEOMEAN(_xlfn.TAKE(_xlfn._xlws.FILTER(J17:J26,J17:J26&lt;&gt;""),-4))</f>
        <v>1.0023404499459732</v>
      </c>
      <c r="K44" s="48" cm="1">
        <f t="array" ref="K44">GEOMEAN(_xlfn.TAKE(_xlfn._xlws.FILTER(K17:K26,K17:K26&lt;&gt;""),-4))</f>
        <v>1.00186584269111</v>
      </c>
    </row>
    <row r="45" spans="2:11" x14ac:dyDescent="0.35">
      <c r="B45" s="25" t="s">
        <v>22</v>
      </c>
      <c r="C45" s="48" cm="1">
        <f t="array" ref="C45">GEOMEAN(_xlfn.TAKE(_xlfn._xlws.FILTER(C17:C26,C17:C26&lt;&gt;""),-3))</f>
        <v>1.7021816502549916</v>
      </c>
      <c r="D45" s="48" cm="1">
        <f t="array" ref="D45">GEOMEAN(_xlfn.TAKE(_xlfn._xlws.FILTER(D17:D26,D17:D26&lt;&gt;""),-3))</f>
        <v>1.1860012559771957</v>
      </c>
      <c r="E45" s="48" cm="1">
        <f t="array" ref="E45">GEOMEAN(_xlfn.TAKE(_xlfn._xlws.FILTER(E17:E26,E17:E26&lt;&gt;""),-3))</f>
        <v>1.0911017354483672</v>
      </c>
      <c r="F45" s="48" cm="1">
        <f t="array" ref="F45">GEOMEAN(_xlfn.TAKE(_xlfn._xlws.FILTER(F17:F26,F17:F26&lt;&gt;""),-3))</f>
        <v>1.0438463982922683</v>
      </c>
      <c r="G45" s="48" cm="1">
        <f t="array" ref="G45">GEOMEAN(_xlfn.TAKE(_xlfn._xlws.FILTER(G17:G26,G17:G26&lt;&gt;""),-3))</f>
        <v>1.01876071307114</v>
      </c>
      <c r="H45" s="48" cm="1">
        <f t="array" ref="H45">GEOMEAN(_xlfn.TAKE(_xlfn._xlws.FILTER(H17:H26,H17:H26&lt;&gt;""),-3))</f>
        <v>1.0094643253267055</v>
      </c>
      <c r="I45" s="48" cm="1">
        <f t="array" ref="I45">GEOMEAN(_xlfn.TAKE(_xlfn._xlws.FILTER(I17:I26,I17:I26&lt;&gt;""),-3))</f>
        <v>1.0047866405263899</v>
      </c>
      <c r="J45" s="48" cm="1">
        <f t="array" ref="J45">GEOMEAN(_xlfn.TAKE(_xlfn._xlws.FILTER(J17:J26,J17:J26&lt;&gt;""),-3))</f>
        <v>1.0023404499459732</v>
      </c>
      <c r="K45" s="48" cm="1">
        <f t="array" ref="K45">GEOMEAN(_xlfn.TAKE(_xlfn._xlws.FILTER(K17:K26,K17:K26&lt;&gt;""),-3))</f>
        <v>1.00186584269111</v>
      </c>
    </row>
    <row r="47" spans="2:11" x14ac:dyDescent="0.35">
      <c r="B47" s="28" t="s">
        <v>28</v>
      </c>
    </row>
    <row r="49" spans="2:12" x14ac:dyDescent="0.35">
      <c r="B49" s="6" t="s">
        <v>2</v>
      </c>
      <c r="C49" s="6" t="s">
        <v>7</v>
      </c>
      <c r="D49" s="6" t="s">
        <v>8</v>
      </c>
      <c r="E49" s="6" t="s">
        <v>9</v>
      </c>
      <c r="F49" s="6" t="s">
        <v>10</v>
      </c>
      <c r="G49" s="6" t="s">
        <v>11</v>
      </c>
      <c r="H49" s="6" t="s">
        <v>12</v>
      </c>
      <c r="I49" s="6" t="s">
        <v>13</v>
      </c>
      <c r="J49" s="6" t="s">
        <v>14</v>
      </c>
      <c r="K49" s="6" t="s">
        <v>15</v>
      </c>
      <c r="L49" s="6" t="s">
        <v>34</v>
      </c>
    </row>
    <row r="50" spans="2:12" x14ac:dyDescent="0.35">
      <c r="B50" s="29" t="s">
        <v>29</v>
      </c>
      <c r="C50" s="6" t="s">
        <v>33</v>
      </c>
      <c r="D50" s="6" t="s">
        <v>33</v>
      </c>
      <c r="E50" s="6" t="s">
        <v>33</v>
      </c>
      <c r="F50" s="6" t="s">
        <v>33</v>
      </c>
      <c r="G50" s="6" t="s">
        <v>33</v>
      </c>
      <c r="H50" s="6" t="s">
        <v>33</v>
      </c>
      <c r="I50" s="6" t="s">
        <v>33</v>
      </c>
      <c r="J50" s="6" t="s">
        <v>33</v>
      </c>
      <c r="K50" s="6" t="s">
        <v>33</v>
      </c>
      <c r="L50" s="6" t="s">
        <v>33</v>
      </c>
    </row>
    <row r="51" spans="2:12" x14ac:dyDescent="0.35">
      <c r="B51" s="29" t="s">
        <v>30</v>
      </c>
      <c r="C51" s="31">
        <v>1.7330000000000001</v>
      </c>
      <c r="D51" s="31">
        <v>1.19</v>
      </c>
      <c r="E51" s="31">
        <v>1.091</v>
      </c>
      <c r="F51" s="31">
        <v>1.044</v>
      </c>
      <c r="G51" s="31">
        <v>1.0189999999999999</v>
      </c>
      <c r="H51" s="31">
        <v>1.01</v>
      </c>
      <c r="I51" s="31">
        <v>1.0049999999999999</v>
      </c>
      <c r="J51" s="31">
        <v>1.002</v>
      </c>
      <c r="K51" s="31">
        <v>1.002</v>
      </c>
      <c r="L51" s="31">
        <v>1.002</v>
      </c>
    </row>
    <row r="52" spans="2:12" x14ac:dyDescent="0.35">
      <c r="B52" s="29" t="s">
        <v>31</v>
      </c>
      <c r="C52" s="31">
        <f>PRODUCT(C51:L51)</f>
        <v>2.4441933462595475</v>
      </c>
      <c r="D52" s="31">
        <f>PRODUCT(D51:L51)</f>
        <v>1.4103827733753882</v>
      </c>
      <c r="E52" s="31">
        <f>PRODUCT(E51:L51)</f>
        <v>1.1851956078784776</v>
      </c>
      <c r="F52" s="31">
        <f>PRODUCT(F51:L51)</f>
        <v>1.0863387789903551</v>
      </c>
      <c r="G52" s="31">
        <f>PRODUCT(G51:L51)</f>
        <v>1.0405543860060875</v>
      </c>
      <c r="H52" s="31">
        <f>PRODUCT(H51:L51)</f>
        <v>1.0211524887204</v>
      </c>
      <c r="I52" s="31">
        <f>PRODUCT(I51:L51)</f>
        <v>1.0110420680400001</v>
      </c>
      <c r="J52" s="31">
        <f>PRODUCT(J51:L51)</f>
        <v>1.0060120079999999</v>
      </c>
      <c r="K52" s="31">
        <f>PRODUCT(K51:L51)</f>
        <v>1.0040039999999999</v>
      </c>
      <c r="L52" s="31">
        <f>PRODUCT(L51)</f>
        <v>1.002</v>
      </c>
    </row>
    <row r="53" spans="2:12" x14ac:dyDescent="0.35">
      <c r="B53" s="29" t="s">
        <v>32</v>
      </c>
      <c r="C53" s="30">
        <f>1/C52</f>
        <v>0.40913293603811757</v>
      </c>
      <c r="D53" s="30">
        <f t="shared" ref="D53:L53" si="9">1/D52</f>
        <v>0.7090273781540577</v>
      </c>
      <c r="E53" s="30">
        <f t="shared" si="9"/>
        <v>0.84374258000332858</v>
      </c>
      <c r="F53" s="30">
        <f t="shared" si="9"/>
        <v>0.92052315478363156</v>
      </c>
      <c r="G53" s="30">
        <f t="shared" si="9"/>
        <v>0.96102617359411113</v>
      </c>
      <c r="H53" s="30">
        <f t="shared" si="9"/>
        <v>0.97928567089239915</v>
      </c>
      <c r="I53" s="30">
        <f t="shared" si="9"/>
        <v>0.98907852760132309</v>
      </c>
      <c r="J53" s="30">
        <f t="shared" si="9"/>
        <v>0.99402392023932984</v>
      </c>
      <c r="K53" s="30">
        <f t="shared" si="9"/>
        <v>0.99601196807980852</v>
      </c>
      <c r="L53" s="30">
        <f t="shared" si="9"/>
        <v>0.99800399201596801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A9D7-0136-44FE-B53E-C13C6303EE4A}">
  <dimension ref="A1:O23"/>
  <sheetViews>
    <sheetView zoomScale="78" workbookViewId="0">
      <selection activeCell="I14" sqref="I14"/>
    </sheetView>
  </sheetViews>
  <sheetFormatPr defaultRowHeight="14.5" x14ac:dyDescent="0.35"/>
  <cols>
    <col min="1" max="1" width="13.1796875" style="50" bestFit="1" customWidth="1"/>
    <col min="2" max="2" width="18" style="50" bestFit="1" customWidth="1"/>
    <col min="3" max="4" width="15.26953125" style="50" bestFit="1" customWidth="1"/>
    <col min="5" max="5" width="8.7265625" style="50" bestFit="1" customWidth="1"/>
    <col min="6" max="6" width="6.36328125" style="50" bestFit="1" customWidth="1"/>
    <col min="7" max="8" width="15.26953125" style="50" bestFit="1" customWidth="1"/>
    <col min="9" max="9" width="8.7265625" style="50"/>
    <col min="10" max="10" width="11" style="50" bestFit="1" customWidth="1"/>
    <col min="11" max="16384" width="8.7265625" style="50"/>
  </cols>
  <sheetData>
    <row r="1" spans="1:15" x14ac:dyDescent="0.35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3" spans="1:15" s="51" customFormat="1" ht="33" customHeight="1" x14ac:dyDescent="0.35">
      <c r="A3" s="57" t="s">
        <v>36</v>
      </c>
      <c r="B3" s="57" t="s">
        <v>37</v>
      </c>
      <c r="C3" s="52" t="s">
        <v>38</v>
      </c>
      <c r="D3" s="52"/>
      <c r="E3" s="52" t="s">
        <v>31</v>
      </c>
      <c r="F3" s="52"/>
      <c r="G3" s="52" t="s">
        <v>41</v>
      </c>
      <c r="H3" s="52"/>
    </row>
    <row r="4" spans="1:15" x14ac:dyDescent="0.35">
      <c r="A4" s="58"/>
      <c r="B4" s="58"/>
      <c r="C4" s="53" t="s">
        <v>39</v>
      </c>
      <c r="D4" s="53" t="s">
        <v>40</v>
      </c>
      <c r="E4" s="53" t="s">
        <v>39</v>
      </c>
      <c r="F4" s="53" t="s">
        <v>40</v>
      </c>
      <c r="G4" s="53" t="s">
        <v>39</v>
      </c>
      <c r="H4" s="53" t="s">
        <v>40</v>
      </c>
    </row>
    <row r="5" spans="1:15" x14ac:dyDescent="0.35">
      <c r="A5" s="54">
        <v>1</v>
      </c>
      <c r="B5" s="53">
        <v>2</v>
      </c>
      <c r="C5" s="53">
        <v>3</v>
      </c>
      <c r="D5" s="54">
        <v>4</v>
      </c>
      <c r="E5" s="53">
        <v>5</v>
      </c>
      <c r="F5" s="53">
        <v>6</v>
      </c>
      <c r="G5" s="54">
        <v>7</v>
      </c>
      <c r="H5" s="53">
        <v>8</v>
      </c>
    </row>
    <row r="6" spans="1:15" x14ac:dyDescent="0.35">
      <c r="A6" s="53">
        <v>1998</v>
      </c>
      <c r="B6" s="53">
        <v>120</v>
      </c>
      <c r="C6" s="55">
        <v>47742304</v>
      </c>
      <c r="D6" s="55">
        <v>47644187</v>
      </c>
      <c r="E6" s="79">
        <v>1</v>
      </c>
      <c r="F6" s="79">
        <v>1.002</v>
      </c>
      <c r="G6" s="56">
        <f>C6*E6</f>
        <v>47742304</v>
      </c>
      <c r="H6" s="56">
        <f>F6*D6</f>
        <v>47739475.373999998</v>
      </c>
    </row>
    <row r="7" spans="1:15" x14ac:dyDescent="0.35">
      <c r="A7" s="53">
        <f>A6+1</f>
        <v>1999</v>
      </c>
      <c r="B7" s="53">
        <f>B6-12</f>
        <v>108</v>
      </c>
      <c r="C7" s="55">
        <v>51185767</v>
      </c>
      <c r="D7" s="55">
        <v>51000534</v>
      </c>
      <c r="E7" s="79">
        <v>1</v>
      </c>
      <c r="F7" s="79">
        <v>1.0040039999999999</v>
      </c>
      <c r="G7" s="56">
        <f t="shared" ref="G7:G15" si="0">C7*E7</f>
        <v>51185767</v>
      </c>
      <c r="H7" s="56">
        <f t="shared" ref="H7:H15" si="1">F7*D7</f>
        <v>51204740.138135992</v>
      </c>
    </row>
    <row r="8" spans="1:15" x14ac:dyDescent="0.35">
      <c r="A8" s="53">
        <f t="shared" ref="A8:A15" si="2">A7+1</f>
        <v>2000</v>
      </c>
      <c r="B8" s="53">
        <f t="shared" ref="B8:B15" si="3">B7-12</f>
        <v>96</v>
      </c>
      <c r="C8" s="55">
        <v>54837929</v>
      </c>
      <c r="D8" s="55">
        <v>54533225</v>
      </c>
      <c r="E8" s="79">
        <v>1.0009999999999999</v>
      </c>
      <c r="F8" s="79">
        <v>1.0060120079999999</v>
      </c>
      <c r="G8" s="56">
        <f t="shared" si="0"/>
        <v>54892766.928999998</v>
      </c>
      <c r="H8" s="56">
        <f t="shared" si="1"/>
        <v>54861079.184965797</v>
      </c>
    </row>
    <row r="9" spans="1:15" x14ac:dyDescent="0.35">
      <c r="A9" s="53">
        <f t="shared" si="2"/>
        <v>2001</v>
      </c>
      <c r="B9" s="53">
        <f t="shared" si="3"/>
        <v>84</v>
      </c>
      <c r="C9" s="55">
        <v>56299562</v>
      </c>
      <c r="D9" s="55">
        <v>55878421</v>
      </c>
      <c r="E9" s="79">
        <v>1.0030019999999999</v>
      </c>
      <c r="F9" s="79">
        <v>1.0110420680400001</v>
      </c>
      <c r="G9" s="56">
        <f t="shared" si="0"/>
        <v>56468573.285123996</v>
      </c>
      <c r="H9" s="56">
        <f t="shared" si="1"/>
        <v>56495434.32664977</v>
      </c>
    </row>
    <row r="10" spans="1:15" x14ac:dyDescent="0.35">
      <c r="A10" s="53">
        <f t="shared" si="2"/>
        <v>2002</v>
      </c>
      <c r="B10" s="53">
        <f t="shared" si="3"/>
        <v>72</v>
      </c>
      <c r="C10" s="55">
        <v>58592712</v>
      </c>
      <c r="D10" s="55">
        <v>57807215</v>
      </c>
      <c r="E10" s="79">
        <v>1.0060110059999998</v>
      </c>
      <c r="F10" s="79">
        <v>1.0211524887204</v>
      </c>
      <c r="G10" s="56">
        <f t="shared" si="0"/>
        <v>58944913.143388264</v>
      </c>
      <c r="H10" s="56">
        <f t="shared" si="1"/>
        <v>59029981.463245235</v>
      </c>
    </row>
    <row r="11" spans="1:15" x14ac:dyDescent="0.35">
      <c r="A11" s="53">
        <f t="shared" si="2"/>
        <v>2003</v>
      </c>
      <c r="B11" s="53">
        <f t="shared" si="3"/>
        <v>60</v>
      </c>
      <c r="C11" s="55">
        <v>57565344</v>
      </c>
      <c r="D11" s="55">
        <v>55930654</v>
      </c>
      <c r="E11" s="79">
        <v>1.0100350500239996</v>
      </c>
      <c r="F11" s="79">
        <v>1.0405543860060875</v>
      </c>
      <c r="G11" s="56">
        <f t="shared" si="0"/>
        <v>58143015.106688745</v>
      </c>
      <c r="H11" s="56">
        <f t="shared" si="1"/>
        <v>58198887.331888922</v>
      </c>
    </row>
    <row r="12" spans="1:15" x14ac:dyDescent="0.35">
      <c r="A12" s="53">
        <f t="shared" si="2"/>
        <v>2004</v>
      </c>
      <c r="B12" s="53">
        <f t="shared" si="3"/>
        <v>48</v>
      </c>
      <c r="C12" s="55">
        <v>56976657</v>
      </c>
      <c r="D12" s="55">
        <v>53774672</v>
      </c>
      <c r="E12" s="79">
        <v>1.0211454355742635</v>
      </c>
      <c r="F12" s="79">
        <v>1.0863387789903551</v>
      </c>
      <c r="G12" s="56">
        <f t="shared" si="0"/>
        <v>58181453.229830414</v>
      </c>
      <c r="H12" s="56">
        <f t="shared" si="1"/>
        <v>58417511.521086842</v>
      </c>
    </row>
    <row r="13" spans="1:15" x14ac:dyDescent="0.35">
      <c r="A13" s="53">
        <f t="shared" si="2"/>
        <v>2005</v>
      </c>
      <c r="B13" s="53">
        <f t="shared" si="3"/>
        <v>36</v>
      </c>
      <c r="C13" s="55">
        <v>56786410</v>
      </c>
      <c r="D13" s="55">
        <v>50644994</v>
      </c>
      <c r="E13" s="79">
        <v>1.0487163623347688</v>
      </c>
      <c r="F13" s="79">
        <v>1.1851956078784776</v>
      </c>
      <c r="G13" s="56">
        <f t="shared" si="0"/>
        <v>59552837.325250737</v>
      </c>
      <c r="H13" s="56">
        <f t="shared" si="1"/>
        <v>60024224.449831851</v>
      </c>
    </row>
    <row r="14" spans="1:15" x14ac:dyDescent="0.35">
      <c r="A14" s="53">
        <f t="shared" si="2"/>
        <v>2006</v>
      </c>
      <c r="B14" s="53">
        <f t="shared" si="3"/>
        <v>24</v>
      </c>
      <c r="C14" s="55">
        <v>54641339</v>
      </c>
      <c r="D14" s="55">
        <v>43606497</v>
      </c>
      <c r="E14" s="79">
        <v>1.10849319498785</v>
      </c>
      <c r="F14" s="79">
        <v>1.4103827733753882</v>
      </c>
      <c r="G14" s="56">
        <f t="shared" si="0"/>
        <v>60569552.446524218</v>
      </c>
      <c r="H14" s="56">
        <f t="shared" si="1"/>
        <v>61501852.176045544</v>
      </c>
    </row>
    <row r="15" spans="1:15" ht="15" thickBot="1" x14ac:dyDescent="0.4">
      <c r="A15" s="62">
        <f t="shared" si="2"/>
        <v>2007</v>
      </c>
      <c r="B15" s="62">
        <f t="shared" si="3"/>
        <v>12</v>
      </c>
      <c r="C15" s="63">
        <v>48853563</v>
      </c>
      <c r="D15" s="63">
        <v>27229969</v>
      </c>
      <c r="E15" s="80">
        <v>1.2947200517458095</v>
      </c>
      <c r="F15" s="80">
        <v>2.4441933462595475</v>
      </c>
      <c r="G15" s="64">
        <f t="shared" si="0"/>
        <v>63251687.615327165</v>
      </c>
      <c r="H15" s="64">
        <f t="shared" si="1"/>
        <v>66555309.048653744</v>
      </c>
    </row>
    <row r="16" spans="1:15" ht="15" thickBot="1" x14ac:dyDescent="0.4">
      <c r="A16" s="59" t="s">
        <v>42</v>
      </c>
      <c r="B16" s="59"/>
      <c r="C16" s="60">
        <f>SUM(C6:C15)</f>
        <v>543481587</v>
      </c>
      <c r="D16" s="60">
        <f>SUM(D6:D15)</f>
        <v>498050368</v>
      </c>
      <c r="E16" s="59"/>
      <c r="F16" s="59"/>
      <c r="G16" s="61">
        <f>SUM(G6:G15)</f>
        <v>568932870.08113348</v>
      </c>
      <c r="H16" s="61">
        <f>SUM(H6:H15)</f>
        <v>574028495.0145036</v>
      </c>
    </row>
    <row r="17" spans="1:7" ht="15" thickTop="1" x14ac:dyDescent="0.35"/>
    <row r="18" spans="1:7" x14ac:dyDescent="0.35">
      <c r="A18" s="65" t="s">
        <v>43</v>
      </c>
      <c r="B18" s="65"/>
      <c r="C18" s="65"/>
      <c r="D18" s="65"/>
      <c r="E18" s="65"/>
    </row>
    <row r="19" spans="1:7" x14ac:dyDescent="0.35">
      <c r="A19" s="66" t="s">
        <v>44</v>
      </c>
      <c r="B19" s="66"/>
      <c r="C19" s="66"/>
      <c r="D19" s="65"/>
      <c r="E19" s="65"/>
      <c r="F19" s="65"/>
      <c r="G19" s="65"/>
    </row>
    <row r="20" spans="1:7" x14ac:dyDescent="0.35">
      <c r="A20" s="67" t="s">
        <v>45</v>
      </c>
      <c r="B20" s="67"/>
      <c r="C20" s="67"/>
      <c r="D20" s="67"/>
      <c r="E20" s="67"/>
      <c r="F20" s="67"/>
      <c r="G20" s="67"/>
    </row>
    <row r="21" spans="1:7" x14ac:dyDescent="0.35">
      <c r="A21" s="67" t="s">
        <v>46</v>
      </c>
      <c r="B21" s="67"/>
      <c r="C21" s="67"/>
      <c r="D21" s="67"/>
      <c r="E21" s="67"/>
      <c r="F21" s="65"/>
      <c r="G21" s="65"/>
    </row>
    <row r="22" spans="1:7" x14ac:dyDescent="0.35">
      <c r="A22" s="65" t="s">
        <v>47</v>
      </c>
      <c r="B22" s="65"/>
      <c r="C22" s="65"/>
      <c r="D22" s="65"/>
      <c r="E22" s="65"/>
      <c r="F22" s="65"/>
      <c r="G22" s="65"/>
    </row>
    <row r="23" spans="1:7" x14ac:dyDescent="0.35">
      <c r="A23" s="65" t="s">
        <v>48</v>
      </c>
      <c r="B23" s="65"/>
      <c r="C23" s="65"/>
      <c r="D23" s="65"/>
      <c r="E23" s="65"/>
      <c r="F23" s="65"/>
      <c r="G23" s="65"/>
    </row>
  </sheetData>
  <mergeCells count="9">
    <mergeCell ref="A19:C19"/>
    <mergeCell ref="A21:E21"/>
    <mergeCell ref="A20:G20"/>
    <mergeCell ref="C3:D3"/>
    <mergeCell ref="E3:F3"/>
    <mergeCell ref="G3:H3"/>
    <mergeCell ref="A1:O1"/>
    <mergeCell ref="A3:A4"/>
    <mergeCell ref="B3:B4"/>
  </mergeCells>
  <pageMargins left="0.7" right="0.7" top="0.75" bottom="0.75" header="0.3" footer="0.3"/>
  <ignoredErrors>
    <ignoredError sqref="C16:D1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3F8C-A665-41C4-BAC5-0E238DDFABD2}">
  <dimension ref="A1:N25"/>
  <sheetViews>
    <sheetView zoomScale="63" workbookViewId="0">
      <selection activeCell="H22" sqref="H22"/>
    </sheetView>
  </sheetViews>
  <sheetFormatPr defaultRowHeight="14.5" x14ac:dyDescent="0.35"/>
  <cols>
    <col min="1" max="1" width="13.81640625" bestFit="1" customWidth="1"/>
    <col min="2" max="5" width="15.7265625" bestFit="1" customWidth="1"/>
    <col min="6" max="6" width="20.6328125" bestFit="1" customWidth="1"/>
    <col min="7" max="7" width="21.36328125" bestFit="1" customWidth="1"/>
    <col min="8" max="10" width="14.6328125" bestFit="1" customWidth="1"/>
  </cols>
  <sheetData>
    <row r="1" spans="1:14" x14ac:dyDescent="0.35">
      <c r="A1" s="66" t="s">
        <v>49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x14ac:dyDescent="0.35">
      <c r="G2" s="70" t="s">
        <v>50</v>
      </c>
      <c r="H2" s="70"/>
      <c r="I2" s="70"/>
      <c r="J2" s="70"/>
    </row>
    <row r="3" spans="1:14" ht="43.5" customHeight="1" x14ac:dyDescent="0.35">
      <c r="A3" s="57" t="s">
        <v>36</v>
      </c>
      <c r="B3" s="52" t="s">
        <v>38</v>
      </c>
      <c r="C3" s="52"/>
      <c r="D3" s="52" t="s">
        <v>41</v>
      </c>
      <c r="E3" s="52"/>
      <c r="F3" s="69" t="s">
        <v>61</v>
      </c>
      <c r="G3" s="77" t="s">
        <v>51</v>
      </c>
      <c r="H3" s="78"/>
      <c r="I3" s="77" t="s">
        <v>52</v>
      </c>
      <c r="J3" s="78"/>
    </row>
    <row r="4" spans="1:14" x14ac:dyDescent="0.35">
      <c r="A4" s="58"/>
      <c r="B4" s="53" t="s">
        <v>39</v>
      </c>
      <c r="C4" s="53" t="s">
        <v>40</v>
      </c>
      <c r="D4" s="53" t="s">
        <v>39</v>
      </c>
      <c r="E4" s="53" t="s">
        <v>40</v>
      </c>
      <c r="F4" s="69"/>
      <c r="G4" s="68" t="s">
        <v>39</v>
      </c>
      <c r="H4" s="68" t="s">
        <v>40</v>
      </c>
      <c r="I4" s="68" t="s">
        <v>39</v>
      </c>
      <c r="J4" s="68" t="s">
        <v>40</v>
      </c>
    </row>
    <row r="5" spans="1:14" x14ac:dyDescent="0.35">
      <c r="A5" s="54">
        <v>1</v>
      </c>
      <c r="B5" s="53">
        <f>A5+1</f>
        <v>2</v>
      </c>
      <c r="C5" s="53">
        <f t="shared" ref="C5:I5" si="0">B5+1</f>
        <v>3</v>
      </c>
      <c r="D5" s="53">
        <f t="shared" si="0"/>
        <v>4</v>
      </c>
      <c r="E5" s="53">
        <f t="shared" si="0"/>
        <v>5</v>
      </c>
      <c r="F5" s="53">
        <f t="shared" si="0"/>
        <v>6</v>
      </c>
      <c r="G5" s="53">
        <f t="shared" si="0"/>
        <v>7</v>
      </c>
      <c r="H5" s="53">
        <f t="shared" si="0"/>
        <v>8</v>
      </c>
      <c r="I5" s="53">
        <f t="shared" si="0"/>
        <v>9</v>
      </c>
      <c r="J5" s="53">
        <f>I5+1</f>
        <v>10</v>
      </c>
    </row>
    <row r="6" spans="1:14" x14ac:dyDescent="0.35">
      <c r="A6" s="53">
        <v>1998</v>
      </c>
      <c r="B6" s="71">
        <v>47742304</v>
      </c>
      <c r="C6" s="71">
        <v>47644187</v>
      </c>
      <c r="D6" s="71">
        <v>47742304</v>
      </c>
      <c r="E6" s="71">
        <v>47739475.373999998</v>
      </c>
      <c r="F6" s="72">
        <f>B6-C6</f>
        <v>98117</v>
      </c>
      <c r="G6" s="72">
        <f>D6-B6</f>
        <v>0</v>
      </c>
      <c r="H6" s="72">
        <f>E6-B6</f>
        <v>-2828.6260000020266</v>
      </c>
      <c r="I6" s="72">
        <f>F6+G6</f>
        <v>98117</v>
      </c>
      <c r="J6" s="72">
        <f>F6+H6</f>
        <v>95288.373999997973</v>
      </c>
    </row>
    <row r="7" spans="1:14" x14ac:dyDescent="0.35">
      <c r="A7" s="53">
        <f>A6+1</f>
        <v>1999</v>
      </c>
      <c r="B7" s="71">
        <v>51185767</v>
      </c>
      <c r="C7" s="71">
        <v>51000534</v>
      </c>
      <c r="D7" s="71">
        <v>51185767</v>
      </c>
      <c r="E7" s="71">
        <v>51204740.138135992</v>
      </c>
      <c r="F7" s="72">
        <f t="shared" ref="F7:F15" si="1">B7-C7</f>
        <v>185233</v>
      </c>
      <c r="G7" s="72">
        <f t="shared" ref="G7:G15" si="2">D7-B7</f>
        <v>0</v>
      </c>
      <c r="H7" s="72">
        <f t="shared" ref="H7:H15" si="3">E7-B7</f>
        <v>18973.138135991991</v>
      </c>
      <c r="I7" s="72">
        <f t="shared" ref="I7:I15" si="4">F7+G7</f>
        <v>185233</v>
      </c>
      <c r="J7" s="72">
        <f t="shared" ref="J7:J15" si="5">F7+H7</f>
        <v>204206.13813599199</v>
      </c>
    </row>
    <row r="8" spans="1:14" x14ac:dyDescent="0.35">
      <c r="A8" s="53">
        <f t="shared" ref="A8:A15" si="6">A7+1</f>
        <v>2000</v>
      </c>
      <c r="B8" s="71">
        <v>54837929</v>
      </c>
      <c r="C8" s="71">
        <v>54533225</v>
      </c>
      <c r="D8" s="71">
        <v>54892766.928999998</v>
      </c>
      <c r="E8" s="71">
        <v>54861079.184965797</v>
      </c>
      <c r="F8" s="72">
        <f t="shared" si="1"/>
        <v>304704</v>
      </c>
      <c r="G8" s="72">
        <f t="shared" si="2"/>
        <v>54837.928999997675</v>
      </c>
      <c r="H8" s="72">
        <f t="shared" si="3"/>
        <v>23150.184965796769</v>
      </c>
      <c r="I8" s="72">
        <f t="shared" si="4"/>
        <v>359541.92899999768</v>
      </c>
      <c r="J8" s="72">
        <f t="shared" si="5"/>
        <v>327854.18496579677</v>
      </c>
    </row>
    <row r="9" spans="1:14" x14ac:dyDescent="0.35">
      <c r="A9" s="53">
        <f t="shared" si="6"/>
        <v>2001</v>
      </c>
      <c r="B9" s="71">
        <v>56299562</v>
      </c>
      <c r="C9" s="71">
        <v>55878421</v>
      </c>
      <c r="D9" s="71">
        <v>56468573.285123996</v>
      </c>
      <c r="E9" s="71">
        <v>56495434.32664977</v>
      </c>
      <c r="F9" s="72">
        <f t="shared" si="1"/>
        <v>421141</v>
      </c>
      <c r="G9" s="72">
        <f t="shared" si="2"/>
        <v>169011.28512399644</v>
      </c>
      <c r="H9" s="72">
        <f t="shared" si="3"/>
        <v>195872.32664977014</v>
      </c>
      <c r="I9" s="72">
        <f t="shared" si="4"/>
        <v>590152.28512399644</v>
      </c>
      <c r="J9" s="72">
        <f t="shared" si="5"/>
        <v>617013.32664977014</v>
      </c>
    </row>
    <row r="10" spans="1:14" x14ac:dyDescent="0.35">
      <c r="A10" s="53">
        <f t="shared" si="6"/>
        <v>2002</v>
      </c>
      <c r="B10" s="71">
        <v>58592712</v>
      </c>
      <c r="C10" s="71">
        <v>57807215</v>
      </c>
      <c r="D10" s="71">
        <v>58944913.143388264</v>
      </c>
      <c r="E10" s="71">
        <v>59029981.463245235</v>
      </c>
      <c r="F10" s="72">
        <f t="shared" si="1"/>
        <v>785497</v>
      </c>
      <c r="G10" s="72">
        <f t="shared" si="2"/>
        <v>352201.14338826388</v>
      </c>
      <c r="H10" s="72">
        <f t="shared" si="3"/>
        <v>437269.46324523538</v>
      </c>
      <c r="I10" s="72">
        <f t="shared" si="4"/>
        <v>1137698.1433882639</v>
      </c>
      <c r="J10" s="72">
        <f t="shared" si="5"/>
        <v>1222766.4632452354</v>
      </c>
    </row>
    <row r="11" spans="1:14" x14ac:dyDescent="0.35">
      <c r="A11" s="53">
        <f t="shared" si="6"/>
        <v>2003</v>
      </c>
      <c r="B11" s="71">
        <v>57565344</v>
      </c>
      <c r="C11" s="71">
        <v>55930654</v>
      </c>
      <c r="D11" s="71">
        <v>58143015.106688745</v>
      </c>
      <c r="E11" s="71">
        <v>58198887.331888922</v>
      </c>
      <c r="F11" s="72">
        <f t="shared" si="1"/>
        <v>1634690</v>
      </c>
      <c r="G11" s="72">
        <f t="shared" si="2"/>
        <v>577671.10668874532</v>
      </c>
      <c r="H11" s="72">
        <f t="shared" si="3"/>
        <v>633543.33188892156</v>
      </c>
      <c r="I11" s="72">
        <f t="shared" si="4"/>
        <v>2212361.1066887453</v>
      </c>
      <c r="J11" s="72">
        <f t="shared" si="5"/>
        <v>2268233.3318889216</v>
      </c>
    </row>
    <row r="12" spans="1:14" x14ac:dyDescent="0.35">
      <c r="A12" s="53">
        <f t="shared" si="6"/>
        <v>2004</v>
      </c>
      <c r="B12" s="71">
        <v>56976657</v>
      </c>
      <c r="C12" s="71">
        <v>53774672</v>
      </c>
      <c r="D12" s="71">
        <v>58181453.229830414</v>
      </c>
      <c r="E12" s="71">
        <v>58417511.521086842</v>
      </c>
      <c r="F12" s="72">
        <f t="shared" si="1"/>
        <v>3201985</v>
      </c>
      <c r="G12" s="72">
        <f t="shared" si="2"/>
        <v>1204796.2298304141</v>
      </c>
      <c r="H12" s="72">
        <f t="shared" si="3"/>
        <v>1440854.5210868418</v>
      </c>
      <c r="I12" s="72">
        <f t="shared" si="4"/>
        <v>4406781.2298304141</v>
      </c>
      <c r="J12" s="72">
        <f t="shared" si="5"/>
        <v>4642839.5210868418</v>
      </c>
    </row>
    <row r="13" spans="1:14" x14ac:dyDescent="0.35">
      <c r="A13" s="53">
        <f t="shared" si="6"/>
        <v>2005</v>
      </c>
      <c r="B13" s="71">
        <v>56786410</v>
      </c>
      <c r="C13" s="71">
        <v>50644994</v>
      </c>
      <c r="D13" s="71">
        <v>59552837.325250737</v>
      </c>
      <c r="E13" s="71">
        <v>60024224.449831851</v>
      </c>
      <c r="F13" s="72">
        <f t="shared" si="1"/>
        <v>6141416</v>
      </c>
      <c r="G13" s="72">
        <f t="shared" si="2"/>
        <v>2766427.3252507374</v>
      </c>
      <c r="H13" s="72">
        <f t="shared" si="3"/>
        <v>3237814.4498318508</v>
      </c>
      <c r="I13" s="72">
        <f t="shared" si="4"/>
        <v>8907843.3252507374</v>
      </c>
      <c r="J13" s="72">
        <f t="shared" si="5"/>
        <v>9379230.4498318508</v>
      </c>
    </row>
    <row r="14" spans="1:14" x14ac:dyDescent="0.35">
      <c r="A14" s="53">
        <f t="shared" si="6"/>
        <v>2006</v>
      </c>
      <c r="B14" s="71">
        <v>54641339</v>
      </c>
      <c r="C14" s="71">
        <v>43606497</v>
      </c>
      <c r="D14" s="71">
        <v>60569552.446524218</v>
      </c>
      <c r="E14" s="71">
        <v>61501852.176045544</v>
      </c>
      <c r="F14" s="72">
        <f t="shared" si="1"/>
        <v>11034842</v>
      </c>
      <c r="G14" s="72">
        <f t="shared" si="2"/>
        <v>5928213.4465242177</v>
      </c>
      <c r="H14" s="72">
        <f t="shared" si="3"/>
        <v>6860513.1760455444</v>
      </c>
      <c r="I14" s="72">
        <f t="shared" si="4"/>
        <v>16963055.446524218</v>
      </c>
      <c r="J14" s="72">
        <f t="shared" si="5"/>
        <v>17895355.176045544</v>
      </c>
    </row>
    <row r="15" spans="1:14" ht="15" thickBot="1" x14ac:dyDescent="0.4">
      <c r="A15" s="62">
        <f t="shared" si="6"/>
        <v>2007</v>
      </c>
      <c r="B15" s="73">
        <v>48853563</v>
      </c>
      <c r="C15" s="73">
        <v>27229969</v>
      </c>
      <c r="D15" s="73">
        <v>63251687.615327165</v>
      </c>
      <c r="E15" s="73">
        <v>66555309.048653744</v>
      </c>
      <c r="F15" s="75">
        <f t="shared" si="1"/>
        <v>21623594</v>
      </c>
      <c r="G15" s="75">
        <f t="shared" si="2"/>
        <v>14398124.615327165</v>
      </c>
      <c r="H15" s="75">
        <f t="shared" si="3"/>
        <v>17701746.048653744</v>
      </c>
      <c r="I15" s="75">
        <f t="shared" si="4"/>
        <v>36021718.615327165</v>
      </c>
      <c r="J15" s="75">
        <f t="shared" si="5"/>
        <v>39325340.048653744</v>
      </c>
    </row>
    <row r="16" spans="1:14" ht="15" thickBot="1" x14ac:dyDescent="0.4">
      <c r="A16" s="59" t="s">
        <v>42</v>
      </c>
      <c r="B16" s="74">
        <f>SUM(B6:B15)</f>
        <v>543481587</v>
      </c>
      <c r="C16" s="74">
        <f>SUM(C6:C15)</f>
        <v>498050368</v>
      </c>
      <c r="D16" s="74">
        <f>SUM(D6:D15)</f>
        <v>568932870.08113348</v>
      </c>
      <c r="E16" s="74">
        <f>SUM(E6:E15)</f>
        <v>574028495.0145036</v>
      </c>
      <c r="F16" s="74">
        <f t="shared" ref="F16:J16" si="7">SUM(F6:F15)</f>
        <v>45431219</v>
      </c>
      <c r="G16" s="74">
        <f t="shared" si="7"/>
        <v>25451283.081133537</v>
      </c>
      <c r="H16" s="74">
        <f t="shared" si="7"/>
        <v>30546908.014503695</v>
      </c>
      <c r="I16" s="74">
        <f t="shared" si="7"/>
        <v>70882502.081133544</v>
      </c>
      <c r="J16" s="74">
        <f t="shared" si="7"/>
        <v>75978127.014503688</v>
      </c>
    </row>
    <row r="17" spans="1:4" ht="15" thickTop="1" x14ac:dyDescent="0.35"/>
    <row r="18" spans="1:4" x14ac:dyDescent="0.35">
      <c r="A18" s="49" t="s">
        <v>53</v>
      </c>
      <c r="B18" s="49"/>
      <c r="C18" s="49"/>
      <c r="D18" s="49"/>
    </row>
    <row r="19" spans="1:4" x14ac:dyDescent="0.35">
      <c r="A19" s="49" t="s">
        <v>56</v>
      </c>
      <c r="B19" s="49"/>
      <c r="C19" s="49"/>
      <c r="D19" s="49"/>
    </row>
    <row r="20" spans="1:4" x14ac:dyDescent="0.35">
      <c r="A20" s="76" t="s">
        <v>57</v>
      </c>
      <c r="B20" s="76"/>
      <c r="C20" s="76"/>
      <c r="D20" s="76"/>
    </row>
    <row r="21" spans="1:4" x14ac:dyDescent="0.35">
      <c r="A21" s="49" t="s">
        <v>60</v>
      </c>
      <c r="B21" s="49"/>
      <c r="C21" s="49"/>
      <c r="D21" s="49"/>
    </row>
    <row r="22" spans="1:4" x14ac:dyDescent="0.35">
      <c r="A22" s="49" t="s">
        <v>58</v>
      </c>
      <c r="B22" s="49"/>
      <c r="C22" s="49"/>
      <c r="D22" s="49"/>
    </row>
    <row r="23" spans="1:4" x14ac:dyDescent="0.35">
      <c r="A23" s="49" t="s">
        <v>59</v>
      </c>
      <c r="B23" s="49"/>
      <c r="C23" s="49"/>
      <c r="D23" s="49"/>
    </row>
    <row r="24" spans="1:4" x14ac:dyDescent="0.35">
      <c r="A24" s="49" t="s">
        <v>55</v>
      </c>
      <c r="B24" s="49"/>
      <c r="C24" s="49"/>
      <c r="D24" s="49"/>
    </row>
    <row r="25" spans="1:4" x14ac:dyDescent="0.35">
      <c r="A25" s="49" t="s">
        <v>54</v>
      </c>
      <c r="B25" s="49"/>
      <c r="C25" s="49"/>
      <c r="D25" s="49"/>
    </row>
  </sheetData>
  <mergeCells count="9">
    <mergeCell ref="A20:D20"/>
    <mergeCell ref="G3:H3"/>
    <mergeCell ref="I3:J3"/>
    <mergeCell ref="A3:A4"/>
    <mergeCell ref="B3:C3"/>
    <mergeCell ref="D3:E3"/>
    <mergeCell ref="A1:N1"/>
    <mergeCell ref="F3:F4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Reported Claims</vt:lpstr>
      <vt:lpstr>Paid Claims</vt:lpstr>
      <vt:lpstr>Projection</vt:lpstr>
      <vt:lpstr>Development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Wong, Khai Shern</dc:creator>
  <cp:keywords/>
  <dc:description/>
  <cp:lastModifiedBy>Azizul, Muhammad Alif Firdaus</cp:lastModifiedBy>
  <cp:revision/>
  <dcterms:created xsi:type="dcterms:W3CDTF">2015-06-05T18:17:20Z</dcterms:created>
  <dcterms:modified xsi:type="dcterms:W3CDTF">2026-05-20T03:06:54Z</dcterms:modified>
  <cp:category/>
  <cp:contentStatus/>
</cp:coreProperties>
</file>